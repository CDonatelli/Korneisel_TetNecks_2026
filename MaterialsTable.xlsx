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korn\Documents\Projects\EartyTetrapodNeckMotion\"/>
    </mc:Choice>
  </mc:AlternateContent>
  <xr:revisionPtr revIDLastSave="0" documentId="13_ncr:1_{D04C04AF-CC59-4253-AA3F-9ED3C84D8903}" xr6:coauthVersionLast="47" xr6:coauthVersionMax="47" xr10:uidLastSave="{00000000-0000-0000-0000-000000000000}"/>
  <bookViews>
    <workbookView xWindow="-108" yWindow="-108" windowWidth="23256" windowHeight="12576" firstSheet="4" activeTab="7" xr2:uid="{A192821E-2295-4EAB-8B2E-713E3746FC0F}"/>
  </bookViews>
  <sheets>
    <sheet name="Materials" sheetId="1" r:id="rId1"/>
    <sheet name="Sheet1" sheetId="7" r:id="rId2"/>
    <sheet name="TestingSchedule" sheetId="2" r:id="rId3"/>
    <sheet name="BendingLocations" sheetId="3" r:id="rId4"/>
    <sheet name="Torsion sections" sheetId="4" r:id="rId5"/>
    <sheet name="CrossectionalAreas" sheetId="5" r:id="rId6"/>
    <sheet name="TiktaalikAreas" sheetId="6" r:id="rId7"/>
    <sheet name="DecreasedGageLengthsForSec1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6" l="1"/>
  <c r="D30" i="6" s="1"/>
  <c r="C3" i="6"/>
  <c r="D3" i="6" s="1"/>
  <c r="C10" i="6"/>
  <c r="D10" i="6" s="1"/>
  <c r="C12" i="6"/>
  <c r="D12" i="6" s="1"/>
  <c r="C13" i="6"/>
  <c r="D13" i="6" s="1"/>
  <c r="C18" i="6"/>
  <c r="D18" i="6" s="1"/>
  <c r="C24" i="6"/>
  <c r="D24" i="6" s="1"/>
  <c r="C25" i="6"/>
  <c r="D25" i="6" s="1"/>
  <c r="C26" i="6"/>
  <c r="D26" i="6" s="1"/>
  <c r="C27" i="6"/>
  <c r="D27" i="6" s="1"/>
  <c r="C2" i="6"/>
  <c r="D2" i="6" s="1"/>
  <c r="G30" i="5"/>
  <c r="G31" i="5"/>
  <c r="G33" i="5"/>
  <c r="G34" i="5"/>
  <c r="G35" i="5"/>
  <c r="G36" i="5"/>
  <c r="G38" i="5"/>
  <c r="G39" i="5"/>
  <c r="G40" i="5"/>
  <c r="G41" i="5"/>
  <c r="G43" i="5"/>
  <c r="G44" i="5"/>
  <c r="G45" i="5"/>
  <c r="G46" i="5"/>
  <c r="G29" i="5"/>
  <c r="G18" i="5"/>
  <c r="G19" i="5"/>
  <c r="G20" i="5"/>
  <c r="G21" i="5"/>
  <c r="G23" i="5"/>
  <c r="G24" i="5"/>
  <c r="G25" i="5"/>
  <c r="G26" i="5"/>
  <c r="G16" i="5"/>
  <c r="G14" i="5"/>
  <c r="G13" i="5"/>
  <c r="G7" i="5"/>
  <c r="G2" i="5"/>
</calcChain>
</file>

<file path=xl/sharedStrings.xml><?xml version="1.0" encoding="utf-8"?>
<sst xmlns="http://schemas.openxmlformats.org/spreadsheetml/2006/main" count="311" uniqueCount="146">
  <si>
    <t>Specimen Number</t>
  </si>
  <si>
    <t>2401-01</t>
  </si>
  <si>
    <t>2401-02</t>
  </si>
  <si>
    <t>2401-03</t>
  </si>
  <si>
    <t>2401-04</t>
  </si>
  <si>
    <t>2401-05</t>
  </si>
  <si>
    <t>2401-06</t>
  </si>
  <si>
    <t>2401-07</t>
  </si>
  <si>
    <t>2401-08</t>
  </si>
  <si>
    <t>2401-09</t>
  </si>
  <si>
    <t>2401-10</t>
  </si>
  <si>
    <t>Skull cube to tail length (cms)</t>
  </si>
  <si>
    <t>Number of lateral bending positions</t>
  </si>
  <si>
    <t>Number of dorsoventral bending positions</t>
  </si>
  <si>
    <t>Notes</t>
  </si>
  <si>
    <t>only anteriormost notochord dissected due to time constraints</t>
  </si>
  <si>
    <t>Time/Day</t>
  </si>
  <si>
    <t>Action</t>
  </si>
  <si>
    <t>6-7 pm Sunday</t>
  </si>
  <si>
    <t>3-4 specimens moved from -20°C to 4°C to thaw</t>
  </si>
  <si>
    <t>7-8 am Monday</t>
  </si>
  <si>
    <t>fish thawing progress checked</t>
  </si>
  <si>
    <t>2 pm Monday</t>
  </si>
  <si>
    <t>7 am Tuesday</t>
  </si>
  <si>
    <t>bulk dissection &amp; precision dissection when possible</t>
  </si>
  <si>
    <t>precision dissection</t>
  </si>
  <si>
    <t>8:30-9:30 am Tuesday</t>
  </si>
  <si>
    <t>fish stored in damp paper towel on ice, transported to UOttawa</t>
  </si>
  <si>
    <t>7:30-9:30 am Tuesday</t>
  </si>
  <si>
    <t>c. 11:30 am Tuesday</t>
  </si>
  <si>
    <t>whole column measured and photographed, column bending commences</t>
  </si>
  <si>
    <t>columns sectioned and sections photographed, column torsion commences</t>
  </si>
  <si>
    <t>c. 12:30 pm Tuesday</t>
  </si>
  <si>
    <t>notochord dissections started on each section after torsion test is complete, stored on ice before dissection when necessary and after dissection until further testing</t>
  </si>
  <si>
    <t>Notochord bending commences</t>
  </si>
  <si>
    <t>c. 1:30 pm Tuesday</t>
  </si>
  <si>
    <t>when all notochord dissections are complete, notochord is clamped on each end with zip-ties in preparation for torsion, the section length is measured between the zip ties, and the notochord diameter is measured</t>
  </si>
  <si>
    <t>Notochord torsion commences</t>
  </si>
  <si>
    <t>Testing complete</t>
  </si>
  <si>
    <t>3-4 pm Tuesday</t>
  </si>
  <si>
    <t>1126-01</t>
  </si>
  <si>
    <t>2401-11 to 2401-24</t>
  </si>
  <si>
    <t>available for future testing</t>
  </si>
  <si>
    <t>Right side notochord damaged during dissection, only 1 testable location</t>
  </si>
  <si>
    <t>no notochord sections dissected due to time constraints, small rotation was observed in dorsal end of fish during dorso-ventral bending</t>
  </si>
  <si>
    <t>Definition</t>
  </si>
  <si>
    <t>Bending Position</t>
  </si>
  <si>
    <t>Descending point placed between rib 11 &amp; 12</t>
  </si>
  <si>
    <t>"" rib 17 &amp; 18</t>
  </si>
  <si>
    <t>"" rib 23 &amp; 24</t>
  </si>
  <si>
    <t>"" rib 29&amp;30, or in smaller fish 3cm posterior to position 3</t>
  </si>
  <si>
    <t>3 cm posterior to position 7</t>
  </si>
  <si>
    <t>3 cm posterior to position 6</t>
  </si>
  <si>
    <t>"" rib 35&amp;36, or 3 cm posterior to position 4</t>
  </si>
  <si>
    <t>"" rib 41&amp;42, or 3 cm posterior to position 5</t>
  </si>
  <si>
    <t>4(1)</t>
  </si>
  <si>
    <t>Number of Sections (# notochord sections if different)</t>
  </si>
  <si>
    <t>5(1)</t>
  </si>
  <si>
    <t>Torsion Section #</t>
  </si>
  <si>
    <t>Skull cube to rib 12</t>
  </si>
  <si>
    <t>Rib 13 to 24</t>
  </si>
  <si>
    <t>Rib 25 to 36</t>
  </si>
  <si>
    <t>Posterior to position 3, length matched to more anterior sections on a per specimen basis</t>
  </si>
  <si>
    <t>contains the tail, not tested</t>
  </si>
  <si>
    <t>Measured in X number of fish (notochord # if different)</t>
  </si>
  <si>
    <t>minor anterior damage and moderate posterior damage to notochord section 4 during dissection, these portions were outside of testing area for bending and trimmed before torsion testing</t>
  </si>
  <si>
    <t>notochord section 3 badly damaged during dissection, not tested</t>
  </si>
  <si>
    <t>not tested, used for practice dissection and clamp fitting, depicted in figure 2</t>
  </si>
  <si>
    <t>0923-01</t>
  </si>
  <si>
    <t>0923-02</t>
  </si>
  <si>
    <t>Nose to tail length (cms)</t>
  </si>
  <si>
    <t xml:space="preserve">used for practice dissections and clamp design, depicted in figures 3 &amp; 4 </t>
  </si>
  <si>
    <t>used for practice dissections and clamp design</t>
  </si>
  <si>
    <t>Notochord exposed during filleting by fishers</t>
  </si>
  <si>
    <t>Notochord exposed  during filleting by fishers</t>
  </si>
  <si>
    <t>Specimen</t>
  </si>
  <si>
    <t>Section</t>
  </si>
  <si>
    <t>Corresponding notochord section</t>
  </si>
  <si>
    <t>Diameter (mm)</t>
  </si>
  <si>
    <t>N/A</t>
  </si>
  <si>
    <t>Area (mm2)</t>
  </si>
  <si>
    <t>Area Posterior (cm2)</t>
  </si>
  <si>
    <t>post area imageJ (cm2)</t>
  </si>
  <si>
    <t>ant area imageJ (cm2)</t>
  </si>
  <si>
    <t>Area Anterior (cm2)</t>
  </si>
  <si>
    <t>tail</t>
  </si>
  <si>
    <t>bisected</t>
  </si>
  <si>
    <t>Location</t>
  </si>
  <si>
    <t>V4</t>
  </si>
  <si>
    <t>first ossified intercentral pair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</si>
  <si>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</si>
  <si>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</si>
  <si>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</si>
  <si>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</si>
  <si>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</si>
  <si>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</si>
  <si>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</si>
  <si>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</si>
  <si>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</si>
  <si>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</si>
  <si>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</si>
  <si>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</si>
  <si>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</si>
  <si>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</si>
  <si>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</si>
  <si>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</si>
  <si>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</si>
  <si>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</si>
  <si>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</si>
  <si>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</si>
  <si>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</si>
  <si>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</si>
  <si>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</si>
  <si>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</si>
  <si>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</si>
  <si>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least deformed vertebra in the column</t>
  </si>
  <si>
    <t>ICSpan (cm)</t>
  </si>
  <si>
    <t>Diameter (cm) (ICspan=95%D)</t>
  </si>
  <si>
    <t>Only 1 intercentrum preserved</t>
  </si>
  <si>
    <t>No intercentra preserved</t>
  </si>
  <si>
    <t>V30</t>
  </si>
  <si>
    <t>V31</t>
  </si>
  <si>
    <t>V32</t>
  </si>
  <si>
    <t>V33</t>
  </si>
  <si>
    <t>V34</t>
  </si>
  <si>
    <t>Notochord Area (cm2)</t>
  </si>
  <si>
    <t>Column length V4-V34</t>
  </si>
  <si>
    <t>Column length occ-V4</t>
  </si>
  <si>
    <t>4.73 cm</t>
  </si>
  <si>
    <t>54.49 cm</t>
  </si>
  <si>
    <t>39.80 cm</t>
  </si>
  <si>
    <t>Column length V4-last partial</t>
  </si>
  <si>
    <t>V35-VN</t>
  </si>
  <si>
    <t>Six additional partial vertebrae</t>
  </si>
  <si>
    <t>notes</t>
  </si>
  <si>
    <t>Cross Sectional Area (cm2)</t>
  </si>
  <si>
    <t>complete</t>
  </si>
  <si>
    <t>only 1 neural arch half</t>
  </si>
  <si>
    <t>neural arch and intercentrum L side damaged</t>
  </si>
  <si>
    <t>some NA breakage, complete</t>
  </si>
  <si>
    <t>very deformed</t>
  </si>
  <si>
    <t>ventral NA missing, but good condition otherwise</t>
  </si>
  <si>
    <t>very small portion of NA height preserved</t>
  </si>
  <si>
    <t>Screenshot for full NA height despite 1 ic</t>
  </si>
  <si>
    <t>Retrodeformed Area (cm2)</t>
  </si>
  <si>
    <t>Gage Length minus skull cube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</si>
</sst>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369B-BB12-4A28-AC87-20E41D0FDDFB}">
  <dimension ref="A1:F16"/>
  <sheetViews>
    <sheetView workbookViewId="0">
      <selection activeCell="D7" sqref="D7"/>
    </sheetView>
  </sheetViews>
  <sheetFormatPr defaultRowHeight="14.4" x14ac:dyDescent="0.3"/>
  <cols>
    <col min="1" max="1" width="17.77734375" customWidth="1"/>
    <col min="2" max="2" width="17" customWidth="1"/>
    <col min="3" max="3" width="19.109375" customWidth="1"/>
    <col min="4" max="4" width="16.77734375" customWidth="1"/>
    <col min="5" max="5" width="18.88671875" customWidth="1"/>
    <col min="6" max="6" width="29.44140625" customWidth="1"/>
  </cols>
  <sheetData>
    <row r="1" spans="1:6" ht="43.2" x14ac:dyDescent="0.3">
      <c r="A1" s="1" t="s">
        <v>0</v>
      </c>
      <c r="B1" s="1" t="s">
        <v>11</v>
      </c>
      <c r="C1" s="1" t="s">
        <v>12</v>
      </c>
      <c r="D1" s="1" t="s">
        <v>13</v>
      </c>
      <c r="E1" s="1" t="s">
        <v>56</v>
      </c>
      <c r="F1" s="1" t="s">
        <v>14</v>
      </c>
    </row>
    <row r="2" spans="1:6" ht="28.8" x14ac:dyDescent="0.3">
      <c r="A2" s="1" t="s">
        <v>1</v>
      </c>
      <c r="B2" s="1">
        <v>37.700000000000003</v>
      </c>
      <c r="C2" s="1">
        <v>6</v>
      </c>
      <c r="D2" s="1">
        <v>4</v>
      </c>
      <c r="E2" s="1" t="s">
        <v>55</v>
      </c>
      <c r="F2" s="1" t="s">
        <v>15</v>
      </c>
    </row>
    <row r="3" spans="1:6" ht="43.2" x14ac:dyDescent="0.3">
      <c r="A3" s="1" t="s">
        <v>2</v>
      </c>
      <c r="B3" s="1">
        <v>37.5</v>
      </c>
      <c r="C3" s="1">
        <v>1</v>
      </c>
      <c r="D3" s="1">
        <v>1</v>
      </c>
      <c r="E3" s="1" t="s">
        <v>57</v>
      </c>
      <c r="F3" s="1" t="s">
        <v>43</v>
      </c>
    </row>
    <row r="4" spans="1:6" ht="72" x14ac:dyDescent="0.3">
      <c r="A4" s="1" t="s">
        <v>3</v>
      </c>
      <c r="B4" s="1">
        <v>38.6</v>
      </c>
      <c r="C4" s="1">
        <v>7</v>
      </c>
      <c r="D4" s="1">
        <v>2</v>
      </c>
      <c r="E4" s="1">
        <v>0</v>
      </c>
      <c r="F4" s="1" t="s">
        <v>44</v>
      </c>
    </row>
    <row r="5" spans="1:6" ht="43.2" x14ac:dyDescent="0.3">
      <c r="A5" s="1" t="s">
        <v>4</v>
      </c>
      <c r="B5" s="1">
        <v>39.700000000000003</v>
      </c>
      <c r="C5" s="1">
        <v>8</v>
      </c>
      <c r="D5" s="1">
        <v>3</v>
      </c>
      <c r="E5" s="1">
        <v>3</v>
      </c>
      <c r="F5" s="1" t="s">
        <v>66</v>
      </c>
    </row>
    <row r="6" spans="1:6" x14ac:dyDescent="0.3">
      <c r="A6" s="1" t="s">
        <v>5</v>
      </c>
      <c r="B6" s="1">
        <v>43.2</v>
      </c>
      <c r="C6" s="1">
        <v>7</v>
      </c>
      <c r="D6" s="1">
        <v>3</v>
      </c>
      <c r="E6" s="1">
        <v>4</v>
      </c>
      <c r="F6" s="1"/>
    </row>
    <row r="7" spans="1:6" ht="100.8" x14ac:dyDescent="0.3">
      <c r="A7" s="1" t="s">
        <v>6</v>
      </c>
      <c r="B7" s="1">
        <v>36.9</v>
      </c>
      <c r="C7" s="1">
        <v>7</v>
      </c>
      <c r="D7" s="1">
        <v>3</v>
      </c>
      <c r="E7" s="1">
        <v>4</v>
      </c>
      <c r="F7" s="1" t="s">
        <v>65</v>
      </c>
    </row>
    <row r="8" spans="1:6" x14ac:dyDescent="0.3">
      <c r="A8" s="1" t="s">
        <v>7</v>
      </c>
      <c r="B8" s="1">
        <v>40.4</v>
      </c>
      <c r="C8" s="1">
        <v>7</v>
      </c>
      <c r="D8" s="1">
        <v>2</v>
      </c>
      <c r="E8" s="1">
        <v>4</v>
      </c>
      <c r="F8" s="1"/>
    </row>
    <row r="9" spans="1:6" x14ac:dyDescent="0.3">
      <c r="A9" s="1" t="s">
        <v>8</v>
      </c>
      <c r="B9" s="1">
        <v>40.200000000000003</v>
      </c>
      <c r="C9" s="1">
        <v>8</v>
      </c>
      <c r="D9" s="1">
        <v>3</v>
      </c>
      <c r="E9" s="1">
        <v>4</v>
      </c>
      <c r="F9" s="1"/>
    </row>
    <row r="10" spans="1:6" x14ac:dyDescent="0.3">
      <c r="A10" s="1" t="s">
        <v>9</v>
      </c>
      <c r="B10" s="1">
        <v>39.9</v>
      </c>
      <c r="C10" s="1">
        <v>7</v>
      </c>
      <c r="D10" s="1">
        <v>4</v>
      </c>
      <c r="E10" s="1">
        <v>4</v>
      </c>
      <c r="F10" s="1"/>
    </row>
    <row r="11" spans="1:6" x14ac:dyDescent="0.3">
      <c r="A11" s="1" t="s">
        <v>10</v>
      </c>
      <c r="B11" s="1">
        <v>41.5</v>
      </c>
      <c r="C11" s="1">
        <v>7</v>
      </c>
      <c r="D11" s="1">
        <v>2</v>
      </c>
      <c r="E11" s="1">
        <v>4</v>
      </c>
      <c r="F11" s="1"/>
    </row>
    <row r="12" spans="1:6" x14ac:dyDescent="0.3">
      <c r="A12" s="1" t="s">
        <v>40</v>
      </c>
      <c r="B12" t="s">
        <v>67</v>
      </c>
    </row>
    <row r="13" spans="1:6" ht="28.8" x14ac:dyDescent="0.3">
      <c r="A13" s="1"/>
      <c r="B13" s="1" t="s">
        <v>70</v>
      </c>
    </row>
    <row r="14" spans="1:6" x14ac:dyDescent="0.3">
      <c r="A14" s="1" t="s">
        <v>68</v>
      </c>
      <c r="B14">
        <v>104</v>
      </c>
      <c r="C14" t="s">
        <v>71</v>
      </c>
      <c r="F14" t="s">
        <v>73</v>
      </c>
    </row>
    <row r="15" spans="1:6" x14ac:dyDescent="0.3">
      <c r="A15" s="1" t="s">
        <v>69</v>
      </c>
      <c r="B15">
        <v>101</v>
      </c>
      <c r="C15" t="s">
        <v>72</v>
      </c>
      <c r="F15" t="s">
        <v>74</v>
      </c>
    </row>
    <row r="16" spans="1:6" x14ac:dyDescent="0.3">
      <c r="A16" s="1" t="s">
        <v>41</v>
      </c>
      <c r="B16" t="s">
        <v>42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B5826-59AB-4116-B121-BA976C784FD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370C1-B81B-487E-886C-FDC69DCC55E0}">
  <dimension ref="A1:B13"/>
  <sheetViews>
    <sheetView workbookViewId="0">
      <selection activeCell="B25" sqref="B25"/>
    </sheetView>
  </sheetViews>
  <sheetFormatPr defaultRowHeight="14.4" x14ac:dyDescent="0.3"/>
  <cols>
    <col min="1" max="1" width="19.5546875" customWidth="1"/>
    <col min="2" max="2" width="64.21875" customWidth="1"/>
  </cols>
  <sheetData>
    <row r="1" spans="1:2" x14ac:dyDescent="0.3">
      <c r="A1" t="s">
        <v>16</v>
      </c>
      <c r="B1" t="s">
        <v>17</v>
      </c>
    </row>
    <row r="2" spans="1:2" x14ac:dyDescent="0.3">
      <c r="A2" t="s">
        <v>18</v>
      </c>
      <c r="B2" t="s">
        <v>19</v>
      </c>
    </row>
    <row r="3" spans="1:2" x14ac:dyDescent="0.3">
      <c r="A3" t="s">
        <v>20</v>
      </c>
      <c r="B3" t="s">
        <v>21</v>
      </c>
    </row>
    <row r="4" spans="1:2" x14ac:dyDescent="0.3">
      <c r="A4" t="s">
        <v>22</v>
      </c>
      <c r="B4" t="s">
        <v>24</v>
      </c>
    </row>
    <row r="5" spans="1:2" x14ac:dyDescent="0.3">
      <c r="A5" t="s">
        <v>23</v>
      </c>
      <c r="B5" t="s">
        <v>25</v>
      </c>
    </row>
    <row r="6" spans="1:2" x14ac:dyDescent="0.3">
      <c r="A6" t="s">
        <v>28</v>
      </c>
      <c r="B6" t="s">
        <v>27</v>
      </c>
    </row>
    <row r="7" spans="1:2" x14ac:dyDescent="0.3">
      <c r="A7" t="s">
        <v>26</v>
      </c>
      <c r="B7" t="s">
        <v>30</v>
      </c>
    </row>
    <row r="8" spans="1:2" x14ac:dyDescent="0.3">
      <c r="A8" t="s">
        <v>29</v>
      </c>
      <c r="B8" t="s">
        <v>31</v>
      </c>
    </row>
    <row r="9" spans="1:2" x14ac:dyDescent="0.3">
      <c r="B9" t="s">
        <v>33</v>
      </c>
    </row>
    <row r="10" spans="1:2" x14ac:dyDescent="0.3">
      <c r="A10" t="s">
        <v>32</v>
      </c>
      <c r="B10" t="s">
        <v>34</v>
      </c>
    </row>
    <row r="11" spans="1:2" x14ac:dyDescent="0.3">
      <c r="B11" t="s">
        <v>36</v>
      </c>
    </row>
    <row r="12" spans="1:2" x14ac:dyDescent="0.3">
      <c r="A12" t="s">
        <v>35</v>
      </c>
      <c r="B12" t="s">
        <v>37</v>
      </c>
    </row>
    <row r="13" spans="1:2" x14ac:dyDescent="0.3">
      <c r="A13" t="s">
        <v>39</v>
      </c>
      <c r="B13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55DE3-CF68-43B3-AF98-E4A08E8AF048}">
  <dimension ref="A1:D9"/>
  <sheetViews>
    <sheetView workbookViewId="0">
      <selection sqref="A1:D9"/>
    </sheetView>
  </sheetViews>
  <sheetFormatPr defaultRowHeight="14.4" x14ac:dyDescent="0.3"/>
  <cols>
    <col min="1" max="1" width="16.5546875" customWidth="1"/>
    <col min="2" max="2" width="48.6640625" customWidth="1"/>
    <col min="3" max="3" width="13.33203125" customWidth="1"/>
    <col min="4" max="4" width="43.88671875" customWidth="1"/>
  </cols>
  <sheetData>
    <row r="1" spans="1:4" x14ac:dyDescent="0.3">
      <c r="A1" t="s">
        <v>46</v>
      </c>
      <c r="B1" t="s">
        <v>45</v>
      </c>
      <c r="C1" t="s">
        <v>58</v>
      </c>
      <c r="D1" t="s">
        <v>45</v>
      </c>
    </row>
    <row r="2" spans="1:4" x14ac:dyDescent="0.3">
      <c r="A2">
        <v>1</v>
      </c>
      <c r="B2" t="s">
        <v>47</v>
      </c>
      <c r="C2">
        <v>1</v>
      </c>
      <c r="D2" t="s">
        <v>59</v>
      </c>
    </row>
    <row r="3" spans="1:4" x14ac:dyDescent="0.3">
      <c r="A3">
        <v>2</v>
      </c>
      <c r="B3" t="s">
        <v>48</v>
      </c>
      <c r="C3">
        <v>2</v>
      </c>
      <c r="D3" t="s">
        <v>60</v>
      </c>
    </row>
    <row r="4" spans="1:4" x14ac:dyDescent="0.3">
      <c r="A4">
        <v>3</v>
      </c>
      <c r="B4" t="s">
        <v>49</v>
      </c>
      <c r="C4">
        <v>3</v>
      </c>
      <c r="D4" t="s">
        <v>61</v>
      </c>
    </row>
    <row r="5" spans="1:4" x14ac:dyDescent="0.3">
      <c r="A5">
        <v>4</v>
      </c>
      <c r="B5" t="s">
        <v>50</v>
      </c>
      <c r="C5">
        <v>4</v>
      </c>
      <c r="D5" t="s">
        <v>62</v>
      </c>
    </row>
    <row r="6" spans="1:4" x14ac:dyDescent="0.3">
      <c r="A6">
        <v>5</v>
      </c>
      <c r="B6" t="s">
        <v>53</v>
      </c>
      <c r="C6">
        <v>5</v>
      </c>
      <c r="D6" t="s">
        <v>63</v>
      </c>
    </row>
    <row r="7" spans="1:4" x14ac:dyDescent="0.3">
      <c r="A7">
        <v>6</v>
      </c>
      <c r="B7" t="s">
        <v>54</v>
      </c>
    </row>
    <row r="8" spans="1:4" x14ac:dyDescent="0.3">
      <c r="A8">
        <v>7</v>
      </c>
      <c r="B8" t="s">
        <v>52</v>
      </c>
    </row>
    <row r="9" spans="1:4" x14ac:dyDescent="0.3">
      <c r="A9">
        <v>8</v>
      </c>
      <c r="B9" t="s">
        <v>51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2CF5F-A8CC-44D6-BB09-2B3E1196FB90}">
  <dimension ref="A1:C6"/>
  <sheetViews>
    <sheetView workbookViewId="0">
      <selection sqref="A1:B6"/>
    </sheetView>
  </sheetViews>
  <sheetFormatPr defaultRowHeight="14.4" x14ac:dyDescent="0.3"/>
  <cols>
    <col min="1" max="1" width="17.6640625" customWidth="1"/>
    <col min="2" max="2" width="17.88671875" customWidth="1"/>
  </cols>
  <sheetData>
    <row r="1" spans="1:3" x14ac:dyDescent="0.3">
      <c r="A1" t="s">
        <v>58</v>
      </c>
      <c r="B1" t="s">
        <v>45</v>
      </c>
      <c r="C1" t="s">
        <v>64</v>
      </c>
    </row>
    <row r="2" spans="1:3" x14ac:dyDescent="0.3">
      <c r="A2">
        <v>1</v>
      </c>
      <c r="B2" t="s">
        <v>59</v>
      </c>
    </row>
    <row r="3" spans="1:3" x14ac:dyDescent="0.3">
      <c r="A3">
        <v>2</v>
      </c>
      <c r="B3" t="s">
        <v>60</v>
      </c>
    </row>
    <row r="4" spans="1:3" x14ac:dyDescent="0.3">
      <c r="A4">
        <v>3</v>
      </c>
      <c r="B4" t="s">
        <v>61</v>
      </c>
    </row>
    <row r="5" spans="1:3" x14ac:dyDescent="0.3">
      <c r="A5">
        <v>4</v>
      </c>
      <c r="B5" t="s">
        <v>62</v>
      </c>
    </row>
    <row r="6" spans="1:3" x14ac:dyDescent="0.3">
      <c r="A6">
        <v>5</v>
      </c>
      <c r="B6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9E1DC-4DC3-4270-ACA0-8CCFEF09C75B}">
  <dimension ref="A1:I47"/>
  <sheetViews>
    <sheetView topLeftCell="A25" workbookViewId="0">
      <selection activeCell="D47" sqref="D47"/>
    </sheetView>
  </sheetViews>
  <sheetFormatPr defaultRowHeight="14.4" x14ac:dyDescent="0.3"/>
  <cols>
    <col min="3" max="3" width="18.5546875" customWidth="1"/>
    <col min="4" max="4" width="17.44140625" customWidth="1"/>
    <col min="5" max="5" width="28.5546875" customWidth="1"/>
    <col min="6" max="6" width="16" customWidth="1"/>
    <col min="7" max="7" width="20.6640625" customWidth="1"/>
    <col min="8" max="8" width="18.44140625" customWidth="1"/>
    <col min="9" max="9" width="20.109375" customWidth="1"/>
  </cols>
  <sheetData>
    <row r="1" spans="1:9" x14ac:dyDescent="0.3">
      <c r="A1" t="s">
        <v>75</v>
      </c>
      <c r="B1" t="s">
        <v>76</v>
      </c>
      <c r="C1" t="s">
        <v>84</v>
      </c>
      <c r="D1" t="s">
        <v>81</v>
      </c>
      <c r="E1" t="s">
        <v>77</v>
      </c>
      <c r="F1" t="s">
        <v>78</v>
      </c>
      <c r="G1" t="s">
        <v>80</v>
      </c>
      <c r="H1" t="s">
        <v>83</v>
      </c>
      <c r="I1" t="s">
        <v>82</v>
      </c>
    </row>
    <row r="2" spans="1:9" x14ac:dyDescent="0.3">
      <c r="A2" t="s">
        <v>1</v>
      </c>
      <c r="B2">
        <v>1</v>
      </c>
      <c r="C2" t="s">
        <v>79</v>
      </c>
      <c r="D2">
        <v>0.81699999999999995</v>
      </c>
      <c r="E2">
        <v>1</v>
      </c>
      <c r="F2">
        <v>7</v>
      </c>
      <c r="G2">
        <f>(PI()*(F2/2)^2)</f>
        <v>38.484510006474963</v>
      </c>
      <c r="H2" t="s">
        <v>79</v>
      </c>
      <c r="I2">
        <v>0.32300000000000001</v>
      </c>
    </row>
    <row r="3" spans="1:9" x14ac:dyDescent="0.3">
      <c r="A3" t="s">
        <v>1</v>
      </c>
      <c r="B3">
        <v>2</v>
      </c>
      <c r="C3">
        <v>0.76</v>
      </c>
      <c r="D3">
        <v>0.54300000000000004</v>
      </c>
      <c r="E3" t="s">
        <v>79</v>
      </c>
      <c r="H3">
        <v>0.33500000000000002</v>
      </c>
      <c r="I3">
        <v>0.23499999999999999</v>
      </c>
    </row>
    <row r="4" spans="1:9" x14ac:dyDescent="0.3">
      <c r="A4" t="s">
        <v>1</v>
      </c>
      <c r="B4">
        <v>3</v>
      </c>
      <c r="C4">
        <v>0.56399999999999995</v>
      </c>
      <c r="D4">
        <v>0.61</v>
      </c>
      <c r="E4" t="s">
        <v>79</v>
      </c>
      <c r="H4">
        <v>0.29099999999999998</v>
      </c>
      <c r="I4">
        <v>0.24</v>
      </c>
    </row>
    <row r="5" spans="1:9" x14ac:dyDescent="0.3">
      <c r="A5" t="s">
        <v>1</v>
      </c>
      <c r="B5">
        <v>4</v>
      </c>
      <c r="C5">
        <v>0.59499999999999997</v>
      </c>
      <c r="D5">
        <v>0.26200000000000001</v>
      </c>
      <c r="E5" t="s">
        <v>79</v>
      </c>
      <c r="H5">
        <v>0.216</v>
      </c>
      <c r="I5">
        <v>0.13800000000000001</v>
      </c>
    </row>
    <row r="6" spans="1:9" x14ac:dyDescent="0.3">
      <c r="A6" t="s">
        <v>1</v>
      </c>
      <c r="B6" t="s">
        <v>85</v>
      </c>
      <c r="C6">
        <v>0.318</v>
      </c>
      <c r="D6" t="s">
        <v>79</v>
      </c>
      <c r="H6">
        <v>0.128</v>
      </c>
      <c r="I6" t="s">
        <v>79</v>
      </c>
    </row>
    <row r="7" spans="1:9" x14ac:dyDescent="0.3">
      <c r="A7" s="2" t="s">
        <v>2</v>
      </c>
      <c r="B7" s="2">
        <v>1</v>
      </c>
      <c r="C7" s="2" t="s">
        <v>79</v>
      </c>
      <c r="D7" s="2">
        <v>0.70299999999999996</v>
      </c>
      <c r="E7" s="2">
        <v>1</v>
      </c>
      <c r="F7" s="2">
        <v>6</v>
      </c>
      <c r="G7" s="2">
        <f>(PI()*(F7/2)^2)</f>
        <v>28.274333882308138</v>
      </c>
      <c r="H7" s="2" t="s">
        <v>79</v>
      </c>
      <c r="I7" s="2">
        <v>0.23100000000000001</v>
      </c>
    </row>
    <row r="8" spans="1:9" x14ac:dyDescent="0.3">
      <c r="A8" s="2" t="s">
        <v>2</v>
      </c>
      <c r="B8" s="2">
        <v>2</v>
      </c>
      <c r="C8" s="2">
        <v>0.89300000000000002</v>
      </c>
      <c r="D8" s="2" t="s">
        <v>79</v>
      </c>
      <c r="E8" s="2" t="s">
        <v>79</v>
      </c>
      <c r="F8" s="2"/>
      <c r="G8" s="2"/>
      <c r="H8" s="2">
        <v>0.26600000000000001</v>
      </c>
      <c r="I8" s="2" t="s">
        <v>79</v>
      </c>
    </row>
    <row r="9" spans="1:9" x14ac:dyDescent="0.3">
      <c r="A9" t="s">
        <v>3</v>
      </c>
      <c r="B9">
        <v>1</v>
      </c>
      <c r="C9" t="s">
        <v>79</v>
      </c>
      <c r="D9">
        <v>0.89800000000000002</v>
      </c>
      <c r="E9" t="s">
        <v>79</v>
      </c>
      <c r="H9" t="s">
        <v>79</v>
      </c>
      <c r="I9">
        <v>0.29799999999999999</v>
      </c>
    </row>
    <row r="10" spans="1:9" x14ac:dyDescent="0.3">
      <c r="A10" t="s">
        <v>3</v>
      </c>
      <c r="B10">
        <v>2</v>
      </c>
      <c r="C10">
        <v>1.022</v>
      </c>
      <c r="D10">
        <v>1.109</v>
      </c>
      <c r="E10" t="s">
        <v>79</v>
      </c>
      <c r="H10">
        <v>0.32800000000000001</v>
      </c>
      <c r="I10">
        <v>0.378</v>
      </c>
    </row>
    <row r="11" spans="1:9" x14ac:dyDescent="0.3">
      <c r="A11" t="s">
        <v>3</v>
      </c>
      <c r="B11">
        <v>3</v>
      </c>
      <c r="C11">
        <v>0.96799999999999997</v>
      </c>
      <c r="D11">
        <v>0.82099999999999995</v>
      </c>
      <c r="E11" t="s">
        <v>79</v>
      </c>
      <c r="H11">
        <v>0.29499999999999998</v>
      </c>
      <c r="I11">
        <v>0.32500000000000001</v>
      </c>
    </row>
    <row r="12" spans="1:9" x14ac:dyDescent="0.3">
      <c r="A12" t="s">
        <v>3</v>
      </c>
      <c r="B12" t="s">
        <v>85</v>
      </c>
      <c r="C12">
        <v>0.64</v>
      </c>
      <c r="D12" t="s">
        <v>79</v>
      </c>
      <c r="E12" t="s">
        <v>79</v>
      </c>
      <c r="H12">
        <v>0.161</v>
      </c>
      <c r="I12" t="s">
        <v>79</v>
      </c>
    </row>
    <row r="13" spans="1:9" x14ac:dyDescent="0.3">
      <c r="A13" s="2" t="s">
        <v>4</v>
      </c>
      <c r="B13" s="2">
        <v>1</v>
      </c>
      <c r="C13" s="2" t="s">
        <v>79</v>
      </c>
      <c r="D13" s="2">
        <v>1.3</v>
      </c>
      <c r="E13" s="2">
        <v>1</v>
      </c>
      <c r="F13" s="2">
        <v>6</v>
      </c>
      <c r="G13" s="2">
        <f>(PI()*(F13/2)^2)</f>
        <v>28.274333882308138</v>
      </c>
      <c r="H13" s="2" t="s">
        <v>79</v>
      </c>
      <c r="I13" s="2">
        <v>0.34899999999999998</v>
      </c>
    </row>
    <row r="14" spans="1:9" x14ac:dyDescent="0.3">
      <c r="A14" s="2" t="s">
        <v>4</v>
      </c>
      <c r="B14" s="2">
        <v>2</v>
      </c>
      <c r="C14" s="2">
        <v>1.151</v>
      </c>
      <c r="D14" s="2">
        <v>0.94</v>
      </c>
      <c r="E14" s="2">
        <v>2</v>
      </c>
      <c r="F14" s="2">
        <v>6</v>
      </c>
      <c r="G14" s="2">
        <f>(PI()*(F14/2)^2)</f>
        <v>28.274333882308138</v>
      </c>
      <c r="H14" s="2">
        <v>0.34899999999999998</v>
      </c>
      <c r="I14" s="2">
        <v>0.33600000000000002</v>
      </c>
    </row>
    <row r="15" spans="1:9" x14ac:dyDescent="0.3">
      <c r="A15" s="2" t="s">
        <v>4</v>
      </c>
      <c r="B15" s="2">
        <v>3</v>
      </c>
      <c r="C15" s="2">
        <v>1.06</v>
      </c>
      <c r="D15" s="2">
        <v>0.78200000000000003</v>
      </c>
      <c r="E15" s="2" t="s">
        <v>86</v>
      </c>
      <c r="F15" s="2"/>
      <c r="G15" s="2"/>
      <c r="H15" s="2">
        <v>0.38600000000000001</v>
      </c>
      <c r="I15" s="2">
        <v>0.34499999999999997</v>
      </c>
    </row>
    <row r="16" spans="1:9" x14ac:dyDescent="0.3">
      <c r="A16" s="2" t="s">
        <v>4</v>
      </c>
      <c r="B16" s="2">
        <v>4</v>
      </c>
      <c r="C16" s="2">
        <v>0.88300000000000001</v>
      </c>
      <c r="D16" s="2">
        <v>0.629</v>
      </c>
      <c r="E16" s="2">
        <v>4</v>
      </c>
      <c r="F16" s="2">
        <v>5</v>
      </c>
      <c r="G16" s="2">
        <f>(PI()*(F16/2)^2)</f>
        <v>19.634954084936208</v>
      </c>
      <c r="H16" s="2">
        <v>0.34699999999999998</v>
      </c>
      <c r="I16" s="2">
        <v>0.26900000000000002</v>
      </c>
    </row>
    <row r="17" spans="1:9" x14ac:dyDescent="0.3">
      <c r="A17" s="2" t="s">
        <v>4</v>
      </c>
      <c r="B17" s="2" t="s">
        <v>85</v>
      </c>
      <c r="C17" s="2">
        <v>0.625</v>
      </c>
      <c r="D17" s="2" t="s">
        <v>79</v>
      </c>
      <c r="E17" s="2"/>
      <c r="F17" s="2"/>
      <c r="G17" s="2"/>
      <c r="H17" s="2">
        <v>0.307</v>
      </c>
      <c r="I17" s="2" t="s">
        <v>79</v>
      </c>
    </row>
    <row r="18" spans="1:9" x14ac:dyDescent="0.3">
      <c r="A18" t="s">
        <v>5</v>
      </c>
      <c r="B18">
        <v>1</v>
      </c>
      <c r="C18" t="s">
        <v>79</v>
      </c>
      <c r="D18">
        <v>1.248</v>
      </c>
      <c r="E18">
        <v>1</v>
      </c>
      <c r="F18">
        <v>6</v>
      </c>
      <c r="G18">
        <f t="shared" ref="G18:G46" si="0">(PI()*(F18/2)^2)</f>
        <v>28.274333882308138</v>
      </c>
      <c r="H18" t="s">
        <v>79</v>
      </c>
      <c r="I18">
        <v>0.42399999999999999</v>
      </c>
    </row>
    <row r="19" spans="1:9" x14ac:dyDescent="0.3">
      <c r="A19" t="s">
        <v>5</v>
      </c>
      <c r="B19">
        <v>2</v>
      </c>
      <c r="C19">
        <v>1.254</v>
      </c>
      <c r="D19">
        <v>1.3939999999999999</v>
      </c>
      <c r="E19">
        <v>2</v>
      </c>
      <c r="F19">
        <v>6</v>
      </c>
      <c r="G19">
        <f t="shared" si="0"/>
        <v>28.274333882308138</v>
      </c>
      <c r="H19">
        <v>0.45300000000000001</v>
      </c>
      <c r="I19">
        <v>0.49199999999999999</v>
      </c>
    </row>
    <row r="20" spans="1:9" x14ac:dyDescent="0.3">
      <c r="A20" t="s">
        <v>5</v>
      </c>
      <c r="B20">
        <v>3</v>
      </c>
      <c r="C20">
        <v>1.0209999999999999</v>
      </c>
      <c r="D20">
        <v>1.0509999999999999</v>
      </c>
      <c r="E20">
        <v>3</v>
      </c>
      <c r="F20">
        <v>6</v>
      </c>
      <c r="G20">
        <f t="shared" si="0"/>
        <v>28.274333882308138</v>
      </c>
      <c r="H20">
        <v>0.42</v>
      </c>
      <c r="I20">
        <v>0.41699999999999998</v>
      </c>
    </row>
    <row r="21" spans="1:9" x14ac:dyDescent="0.3">
      <c r="A21" t="s">
        <v>5</v>
      </c>
      <c r="B21">
        <v>4</v>
      </c>
      <c r="C21">
        <v>0.99</v>
      </c>
      <c r="D21">
        <v>1.101</v>
      </c>
      <c r="E21">
        <v>4</v>
      </c>
      <c r="F21">
        <v>5.5</v>
      </c>
      <c r="G21">
        <f t="shared" si="0"/>
        <v>23.758294442772812</v>
      </c>
      <c r="H21">
        <v>0.436</v>
      </c>
      <c r="I21">
        <v>0.44700000000000001</v>
      </c>
    </row>
    <row r="22" spans="1:9" x14ac:dyDescent="0.3">
      <c r="A22" t="s">
        <v>5</v>
      </c>
      <c r="B22" t="s">
        <v>85</v>
      </c>
      <c r="C22">
        <v>0.67900000000000005</v>
      </c>
      <c r="D22" t="s">
        <v>79</v>
      </c>
      <c r="H22">
        <v>0.34100000000000003</v>
      </c>
      <c r="I22" t="s">
        <v>79</v>
      </c>
    </row>
    <row r="23" spans="1:9" x14ac:dyDescent="0.3">
      <c r="A23" s="2" t="s">
        <v>6</v>
      </c>
      <c r="B23" s="2">
        <v>1</v>
      </c>
      <c r="C23" s="2" t="s">
        <v>79</v>
      </c>
      <c r="D23" s="2">
        <v>0.94699999999999995</v>
      </c>
      <c r="E23" s="2">
        <v>1</v>
      </c>
      <c r="F23" s="2">
        <v>6</v>
      </c>
      <c r="G23" s="2">
        <f t="shared" si="0"/>
        <v>28.274333882308138</v>
      </c>
      <c r="H23" s="2" t="s">
        <v>79</v>
      </c>
      <c r="I23" s="2">
        <v>0.26800000000000002</v>
      </c>
    </row>
    <row r="24" spans="1:9" x14ac:dyDescent="0.3">
      <c r="A24" s="2" t="s">
        <v>6</v>
      </c>
      <c r="B24" s="2">
        <v>2</v>
      </c>
      <c r="C24" s="2">
        <v>0.72599999999999998</v>
      </c>
      <c r="D24" s="2">
        <v>0.86199999999999999</v>
      </c>
      <c r="E24" s="2">
        <v>2</v>
      </c>
      <c r="F24" s="2">
        <v>5</v>
      </c>
      <c r="G24" s="2">
        <f t="shared" si="0"/>
        <v>19.634954084936208</v>
      </c>
      <c r="H24" s="2">
        <v>0.25600000000000001</v>
      </c>
      <c r="I24" s="2">
        <v>0.32400000000000001</v>
      </c>
    </row>
    <row r="25" spans="1:9" x14ac:dyDescent="0.3">
      <c r="A25" s="2" t="s">
        <v>6</v>
      </c>
      <c r="B25" s="2">
        <v>3</v>
      </c>
      <c r="C25" s="2">
        <v>0.82699999999999996</v>
      </c>
      <c r="D25" s="2">
        <v>0.85499999999999998</v>
      </c>
      <c r="E25" s="2">
        <v>3</v>
      </c>
      <c r="F25" s="2">
        <v>5</v>
      </c>
      <c r="G25" s="2">
        <f t="shared" si="0"/>
        <v>19.634954084936208</v>
      </c>
      <c r="H25" s="2">
        <v>0.35699999999999998</v>
      </c>
      <c r="I25" s="2">
        <v>0.34699999999999998</v>
      </c>
    </row>
    <row r="26" spans="1:9" x14ac:dyDescent="0.3">
      <c r="A26" s="2" t="s">
        <v>6</v>
      </c>
      <c r="B26" s="2">
        <v>4</v>
      </c>
      <c r="C26" s="2">
        <v>0.76500000000000001</v>
      </c>
      <c r="D26" s="2">
        <v>0.41</v>
      </c>
      <c r="E26" s="2">
        <v>4</v>
      </c>
      <c r="F26" s="2">
        <v>5</v>
      </c>
      <c r="G26" s="2">
        <f t="shared" si="0"/>
        <v>19.634954084936208</v>
      </c>
      <c r="H26" s="2">
        <v>0.25</v>
      </c>
      <c r="I26" s="2">
        <v>0.193</v>
      </c>
    </row>
    <row r="27" spans="1:9" x14ac:dyDescent="0.3">
      <c r="A27" s="2" t="s">
        <v>6</v>
      </c>
      <c r="B27" s="2" t="s">
        <v>85</v>
      </c>
      <c r="C27" s="2">
        <v>0.44800000000000001</v>
      </c>
      <c r="D27" s="2" t="s">
        <v>79</v>
      </c>
      <c r="E27" s="2"/>
      <c r="F27" s="2"/>
      <c r="G27" s="2"/>
      <c r="H27" s="2">
        <v>0.22700000000000001</v>
      </c>
      <c r="I27" s="2" t="s">
        <v>79</v>
      </c>
    </row>
    <row r="28" spans="1:9" x14ac:dyDescent="0.3">
      <c r="A28" t="s">
        <v>7</v>
      </c>
      <c r="B28">
        <v>1</v>
      </c>
      <c r="C28" t="s">
        <v>79</v>
      </c>
      <c r="D28">
        <v>0.71199999999999997</v>
      </c>
      <c r="E28" t="s">
        <v>79</v>
      </c>
      <c r="H28" t="s">
        <v>79</v>
      </c>
      <c r="I28">
        <v>0.23</v>
      </c>
    </row>
    <row r="29" spans="1:9" x14ac:dyDescent="0.3">
      <c r="A29" t="s">
        <v>7</v>
      </c>
      <c r="B29">
        <v>2</v>
      </c>
      <c r="C29">
        <v>0.71799999999999997</v>
      </c>
      <c r="D29">
        <v>0.78400000000000003</v>
      </c>
      <c r="E29">
        <v>2</v>
      </c>
      <c r="F29">
        <v>5</v>
      </c>
      <c r="G29">
        <f t="shared" si="0"/>
        <v>19.634954084936208</v>
      </c>
      <c r="H29">
        <v>0.255</v>
      </c>
      <c r="I29">
        <v>0.255</v>
      </c>
    </row>
    <row r="30" spans="1:9" x14ac:dyDescent="0.3">
      <c r="A30" t="s">
        <v>7</v>
      </c>
      <c r="B30">
        <v>3</v>
      </c>
      <c r="C30">
        <v>0.56899999999999995</v>
      </c>
      <c r="D30">
        <v>0.77900000000000003</v>
      </c>
      <c r="E30">
        <v>3</v>
      </c>
      <c r="F30">
        <v>5</v>
      </c>
      <c r="G30">
        <f t="shared" si="0"/>
        <v>19.634954084936208</v>
      </c>
      <c r="H30">
        <v>0.21</v>
      </c>
      <c r="I30">
        <v>0.29299999999999998</v>
      </c>
    </row>
    <row r="31" spans="1:9" x14ac:dyDescent="0.3">
      <c r="A31" t="s">
        <v>7</v>
      </c>
      <c r="B31">
        <v>4</v>
      </c>
      <c r="C31">
        <v>0.53</v>
      </c>
      <c r="D31">
        <v>0.54700000000000004</v>
      </c>
      <c r="E31">
        <v>4</v>
      </c>
      <c r="F31">
        <v>4</v>
      </c>
      <c r="G31">
        <f t="shared" si="0"/>
        <v>12.566370614359172</v>
      </c>
      <c r="H31">
        <v>0.22800000000000001</v>
      </c>
      <c r="I31">
        <v>0.217</v>
      </c>
    </row>
    <row r="32" spans="1:9" x14ac:dyDescent="0.3">
      <c r="A32" t="s">
        <v>7</v>
      </c>
      <c r="B32" t="s">
        <v>85</v>
      </c>
      <c r="C32">
        <v>0.442</v>
      </c>
      <c r="D32" t="s">
        <v>79</v>
      </c>
      <c r="H32">
        <v>0.182</v>
      </c>
      <c r="I32" t="s">
        <v>79</v>
      </c>
    </row>
    <row r="33" spans="1:9" x14ac:dyDescent="0.3">
      <c r="A33" s="2" t="s">
        <v>8</v>
      </c>
      <c r="B33" s="2">
        <v>1</v>
      </c>
      <c r="C33" s="2" t="s">
        <v>79</v>
      </c>
      <c r="D33" s="2">
        <v>0.91900000000000004</v>
      </c>
      <c r="E33" s="2">
        <v>1</v>
      </c>
      <c r="F33" s="2">
        <v>4</v>
      </c>
      <c r="G33" s="2">
        <f t="shared" si="0"/>
        <v>12.566370614359172</v>
      </c>
      <c r="H33" s="2" t="s">
        <v>79</v>
      </c>
      <c r="I33" s="2">
        <v>0.30399999999999999</v>
      </c>
    </row>
    <row r="34" spans="1:9" x14ac:dyDescent="0.3">
      <c r="A34" s="2" t="s">
        <v>8</v>
      </c>
      <c r="B34" s="2">
        <v>2</v>
      </c>
      <c r="C34" s="2">
        <v>1.0940000000000001</v>
      </c>
      <c r="D34" s="2">
        <v>1.0289999999999999</v>
      </c>
      <c r="E34" s="2">
        <v>2</v>
      </c>
      <c r="F34" s="2">
        <v>5.5</v>
      </c>
      <c r="G34" s="2">
        <f t="shared" si="0"/>
        <v>23.758294442772812</v>
      </c>
      <c r="H34" s="2">
        <v>0.35899999999999999</v>
      </c>
      <c r="I34" s="2">
        <v>0.371</v>
      </c>
    </row>
    <row r="35" spans="1:9" x14ac:dyDescent="0.3">
      <c r="A35" s="2" t="s">
        <v>8</v>
      </c>
      <c r="B35" s="2">
        <v>3</v>
      </c>
      <c r="C35" s="2">
        <v>0.92800000000000005</v>
      </c>
      <c r="D35" s="2">
        <v>0.65100000000000002</v>
      </c>
      <c r="E35" s="2">
        <v>3</v>
      </c>
      <c r="F35" s="2">
        <v>5</v>
      </c>
      <c r="G35" s="2">
        <f t="shared" si="0"/>
        <v>19.634954084936208</v>
      </c>
      <c r="H35" s="2">
        <v>0.32800000000000001</v>
      </c>
      <c r="I35" s="2">
        <v>0.34100000000000003</v>
      </c>
    </row>
    <row r="36" spans="1:9" x14ac:dyDescent="0.3">
      <c r="A36" s="2" t="s">
        <v>8</v>
      </c>
      <c r="B36" s="2">
        <v>4</v>
      </c>
      <c r="C36" s="2">
        <v>0.70599999999999996</v>
      </c>
      <c r="D36" s="2">
        <v>0.44</v>
      </c>
      <c r="E36" s="2">
        <v>4</v>
      </c>
      <c r="F36" s="2">
        <v>5</v>
      </c>
      <c r="G36" s="2">
        <f t="shared" si="0"/>
        <v>19.634954084936208</v>
      </c>
      <c r="H36" s="2">
        <v>0.32600000000000001</v>
      </c>
      <c r="I36" s="2">
        <v>0.217</v>
      </c>
    </row>
    <row r="37" spans="1:9" x14ac:dyDescent="0.3">
      <c r="A37" s="2" t="s">
        <v>8</v>
      </c>
      <c r="B37" s="2" t="s">
        <v>85</v>
      </c>
      <c r="C37" s="2">
        <v>0.46400000000000002</v>
      </c>
      <c r="D37" s="2" t="s">
        <v>79</v>
      </c>
      <c r="E37" s="2"/>
      <c r="F37" s="2"/>
      <c r="G37" s="2"/>
      <c r="H37" s="2">
        <v>0.22500000000000001</v>
      </c>
      <c r="I37" s="2" t="s">
        <v>79</v>
      </c>
    </row>
    <row r="38" spans="1:9" x14ac:dyDescent="0.3">
      <c r="A38" t="s">
        <v>9</v>
      </c>
      <c r="B38">
        <v>1</v>
      </c>
      <c r="C38" t="s">
        <v>79</v>
      </c>
      <c r="D38">
        <v>0.86299999999999999</v>
      </c>
      <c r="E38">
        <v>1</v>
      </c>
      <c r="F38">
        <v>5.5</v>
      </c>
      <c r="G38">
        <f t="shared" si="0"/>
        <v>23.758294442772812</v>
      </c>
      <c r="H38" t="s">
        <v>79</v>
      </c>
      <c r="I38">
        <v>0.312</v>
      </c>
    </row>
    <row r="39" spans="1:9" x14ac:dyDescent="0.3">
      <c r="A39" t="s">
        <v>9</v>
      </c>
      <c r="B39">
        <v>2</v>
      </c>
      <c r="C39">
        <v>1.0069999999999999</v>
      </c>
      <c r="D39">
        <v>0.996</v>
      </c>
      <c r="E39">
        <v>2</v>
      </c>
      <c r="F39">
        <v>6</v>
      </c>
      <c r="G39">
        <f t="shared" si="0"/>
        <v>28.274333882308138</v>
      </c>
      <c r="H39">
        <v>0.36199999999999999</v>
      </c>
      <c r="I39">
        <v>0.39500000000000002</v>
      </c>
    </row>
    <row r="40" spans="1:9" x14ac:dyDescent="0.3">
      <c r="A40" t="s">
        <v>9</v>
      </c>
      <c r="B40">
        <v>3</v>
      </c>
      <c r="C40">
        <v>0.79600000000000004</v>
      </c>
      <c r="D40">
        <v>0.78400000000000003</v>
      </c>
      <c r="E40">
        <v>3</v>
      </c>
      <c r="F40">
        <v>5</v>
      </c>
      <c r="G40">
        <f t="shared" si="0"/>
        <v>19.634954084936208</v>
      </c>
      <c r="H40">
        <v>0.32600000000000001</v>
      </c>
      <c r="I40">
        <v>0.33800000000000002</v>
      </c>
    </row>
    <row r="41" spans="1:9" x14ac:dyDescent="0.3">
      <c r="A41" t="s">
        <v>9</v>
      </c>
      <c r="B41">
        <v>4</v>
      </c>
      <c r="C41">
        <v>0.68400000000000005</v>
      </c>
      <c r="D41">
        <v>0.501</v>
      </c>
      <c r="E41">
        <v>4</v>
      </c>
      <c r="F41">
        <v>4</v>
      </c>
      <c r="G41">
        <f t="shared" si="0"/>
        <v>12.566370614359172</v>
      </c>
      <c r="H41">
        <v>0.311</v>
      </c>
      <c r="I41">
        <v>0.23599999999999999</v>
      </c>
    </row>
    <row r="42" spans="1:9" x14ac:dyDescent="0.3">
      <c r="A42" t="s">
        <v>9</v>
      </c>
      <c r="B42" t="s">
        <v>85</v>
      </c>
      <c r="C42">
        <v>0.69499999999999995</v>
      </c>
      <c r="D42" t="s">
        <v>79</v>
      </c>
      <c r="H42">
        <v>0.33100000000000002</v>
      </c>
      <c r="I42" t="s">
        <v>79</v>
      </c>
    </row>
    <row r="43" spans="1:9" x14ac:dyDescent="0.3">
      <c r="A43" s="2" t="s">
        <v>10</v>
      </c>
      <c r="B43" s="2">
        <v>1</v>
      </c>
      <c r="C43" s="2" t="s">
        <v>79</v>
      </c>
      <c r="D43" s="2">
        <v>1.1599999999999999</v>
      </c>
      <c r="E43" s="2">
        <v>1</v>
      </c>
      <c r="F43" s="2">
        <v>4.5</v>
      </c>
      <c r="G43" s="2">
        <f t="shared" si="0"/>
        <v>15.904312808798327</v>
      </c>
      <c r="H43" s="2" t="s">
        <v>79</v>
      </c>
      <c r="I43" s="2">
        <v>0.35</v>
      </c>
    </row>
    <row r="44" spans="1:9" x14ac:dyDescent="0.3">
      <c r="A44" s="2" t="s">
        <v>10</v>
      </c>
      <c r="B44" s="2">
        <v>2</v>
      </c>
      <c r="C44" s="2">
        <v>1.292</v>
      </c>
      <c r="D44" s="2">
        <v>1.1259999999999999</v>
      </c>
      <c r="E44" s="2">
        <v>2</v>
      </c>
      <c r="F44" s="2">
        <v>6</v>
      </c>
      <c r="G44" s="2">
        <f t="shared" si="0"/>
        <v>28.274333882308138</v>
      </c>
      <c r="H44" s="2">
        <v>0.378</v>
      </c>
      <c r="I44" s="2">
        <v>0.314</v>
      </c>
    </row>
    <row r="45" spans="1:9" x14ac:dyDescent="0.3">
      <c r="A45" s="2" t="s">
        <v>10</v>
      </c>
      <c r="B45" s="2">
        <v>3</v>
      </c>
      <c r="C45" s="2">
        <v>1.171</v>
      </c>
      <c r="D45" s="2">
        <v>0.90900000000000003</v>
      </c>
      <c r="E45" s="2">
        <v>3</v>
      </c>
      <c r="F45" s="2">
        <v>5</v>
      </c>
      <c r="G45" s="2">
        <f t="shared" si="0"/>
        <v>19.634954084936208</v>
      </c>
      <c r="H45" s="2">
        <v>0.32800000000000001</v>
      </c>
      <c r="I45" s="2">
        <v>0.33200000000000002</v>
      </c>
    </row>
    <row r="46" spans="1:9" x14ac:dyDescent="0.3">
      <c r="A46" s="2" t="s">
        <v>10</v>
      </c>
      <c r="B46" s="2">
        <v>4</v>
      </c>
      <c r="C46" s="2">
        <v>1.1259999999999999</v>
      </c>
      <c r="D46" s="2">
        <v>0.71099999999999997</v>
      </c>
      <c r="E46" s="2">
        <v>4</v>
      </c>
      <c r="F46" s="2">
        <v>5</v>
      </c>
      <c r="G46" s="2">
        <f t="shared" si="0"/>
        <v>19.634954084936208</v>
      </c>
      <c r="H46" s="2">
        <v>0.35799999999999998</v>
      </c>
      <c r="I46" s="2">
        <v>0.32900000000000001</v>
      </c>
    </row>
    <row r="47" spans="1:9" x14ac:dyDescent="0.3">
      <c r="A47" s="2" t="s">
        <v>10</v>
      </c>
      <c r="B47" s="2" t="s">
        <v>85</v>
      </c>
      <c r="C47" s="2">
        <v>0.68700000000000006</v>
      </c>
      <c r="D47" s="2" t="s">
        <v>79</v>
      </c>
      <c r="E47" s="2"/>
      <c r="F47" s="2"/>
      <c r="G47" s="2"/>
      <c r="H47" s="2">
        <v>0.30199999999999999</v>
      </c>
      <c r="I47" s="2" t="s">
        <v>79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E36EF-9903-400A-A9F6-DAA8A62676D7}">
  <dimension ref="A1:H37"/>
  <sheetViews>
    <sheetView topLeftCell="A10" workbookViewId="0">
      <selection activeCell="F31" sqref="F31"/>
    </sheetView>
  </sheetViews>
  <sheetFormatPr defaultRowHeight="14.4" x14ac:dyDescent="0.3"/>
  <cols>
    <col min="2" max="2" width="12.6640625" customWidth="1"/>
    <col min="3" max="3" width="27.33203125" customWidth="1"/>
    <col min="4" max="4" width="20.88671875" customWidth="1"/>
    <col min="5" max="5" width="35.6640625" customWidth="1"/>
    <col min="6" max="6" width="25.5546875" customWidth="1"/>
    <col min="7" max="7" width="40.6640625" customWidth="1"/>
    <col min="8" max="8" width="23.109375" customWidth="1"/>
  </cols>
  <sheetData>
    <row r="1" spans="1:8" x14ac:dyDescent="0.3">
      <c r="A1" t="s">
        <v>87</v>
      </c>
      <c r="B1" t="s">
        <v>116</v>
      </c>
      <c r="C1" t="s">
        <v>117</v>
      </c>
      <c r="D1" t="s">
        <v>125</v>
      </c>
      <c r="E1" t="s">
        <v>14</v>
      </c>
      <c r="F1" t="s">
        <v>135</v>
      </c>
      <c r="G1" t="s">
        <v>134</v>
      </c>
      <c r="H1" t="s">
        <v>144</v>
      </c>
    </row>
    <row r="2" spans="1:8" x14ac:dyDescent="0.3">
      <c r="A2" t="s">
        <v>88</v>
      </c>
      <c r="B2">
        <v>1.57</v>
      </c>
      <c r="C2">
        <f>(B2/0.95)</f>
        <v>1.6526315789473687</v>
      </c>
      <c r="D2">
        <f>PI()*(C2/2)^2</f>
        <v>2.1450725018929315</v>
      </c>
      <c r="E2" t="s">
        <v>89</v>
      </c>
      <c r="F2">
        <v>3.694</v>
      </c>
      <c r="G2" t="s">
        <v>136</v>
      </c>
    </row>
    <row r="3" spans="1:8" x14ac:dyDescent="0.3">
      <c r="A3" t="s">
        <v>90</v>
      </c>
      <c r="B3">
        <v>1.49</v>
      </c>
      <c r="C3">
        <f t="shared" ref="C3:C27" si="0">(B3/0.95)</f>
        <v>1.5684210526315789</v>
      </c>
      <c r="D3">
        <f t="shared" ref="D3:D27" si="1">PI()*(C3/2)^2</f>
        <v>1.9320359695940996</v>
      </c>
      <c r="F3">
        <v>2.798</v>
      </c>
      <c r="G3" t="s">
        <v>137</v>
      </c>
    </row>
    <row r="4" spans="1:8" x14ac:dyDescent="0.3">
      <c r="A4" t="s">
        <v>91</v>
      </c>
      <c r="B4" t="s">
        <v>79</v>
      </c>
      <c r="E4" t="s">
        <v>118</v>
      </c>
    </row>
    <row r="5" spans="1:8" x14ac:dyDescent="0.3">
      <c r="A5" t="s">
        <v>92</v>
      </c>
      <c r="B5" t="s">
        <v>79</v>
      </c>
      <c r="E5" t="s">
        <v>118</v>
      </c>
    </row>
    <row r="6" spans="1:8" x14ac:dyDescent="0.3">
      <c r="A6" t="s">
        <v>93</v>
      </c>
      <c r="B6" t="s">
        <v>79</v>
      </c>
      <c r="E6" t="s">
        <v>118</v>
      </c>
    </row>
    <row r="7" spans="1:8" x14ac:dyDescent="0.3">
      <c r="A7" t="s">
        <v>94</v>
      </c>
      <c r="B7" t="s">
        <v>79</v>
      </c>
      <c r="E7" t="s">
        <v>118</v>
      </c>
    </row>
    <row r="8" spans="1:8" x14ac:dyDescent="0.3">
      <c r="A8" t="s">
        <v>95</v>
      </c>
      <c r="B8" t="s">
        <v>79</v>
      </c>
      <c r="E8" t="s">
        <v>118</v>
      </c>
    </row>
    <row r="9" spans="1:8" x14ac:dyDescent="0.3">
      <c r="A9" t="s">
        <v>96</v>
      </c>
      <c r="B9" t="s">
        <v>79</v>
      </c>
      <c r="E9" t="s">
        <v>118</v>
      </c>
    </row>
    <row r="10" spans="1:8" x14ac:dyDescent="0.3">
      <c r="A10" t="s">
        <v>97</v>
      </c>
      <c r="B10">
        <v>1.48</v>
      </c>
      <c r="C10">
        <f t="shared" si="0"/>
        <v>1.5578947368421052</v>
      </c>
      <c r="D10">
        <f t="shared" si="1"/>
        <v>1.9061896256019619</v>
      </c>
      <c r="F10">
        <v>3.5409999999999999</v>
      </c>
      <c r="G10" t="s">
        <v>137</v>
      </c>
    </row>
    <row r="11" spans="1:8" x14ac:dyDescent="0.3">
      <c r="A11" t="s">
        <v>98</v>
      </c>
      <c r="B11" t="s">
        <v>79</v>
      </c>
      <c r="E11" t="s">
        <v>118</v>
      </c>
    </row>
    <row r="12" spans="1:8" x14ac:dyDescent="0.3">
      <c r="A12" t="s">
        <v>99</v>
      </c>
      <c r="B12">
        <v>1.56</v>
      </c>
      <c r="C12">
        <f t="shared" si="0"/>
        <v>1.642105263157895</v>
      </c>
      <c r="D12">
        <f t="shared" si="1"/>
        <v>2.117833762264854</v>
      </c>
      <c r="E12" t="s">
        <v>115</v>
      </c>
      <c r="F12">
        <v>3.7789999999999999</v>
      </c>
      <c r="G12" t="s">
        <v>136</v>
      </c>
    </row>
    <row r="13" spans="1:8" x14ac:dyDescent="0.3">
      <c r="A13" t="s">
        <v>100</v>
      </c>
      <c r="B13">
        <v>1.43</v>
      </c>
      <c r="C13">
        <f t="shared" si="0"/>
        <v>1.5052631578947369</v>
      </c>
      <c r="D13">
        <f t="shared" si="1"/>
        <v>1.7795686474586614</v>
      </c>
      <c r="F13">
        <v>3.3170000000000002</v>
      </c>
      <c r="G13" t="s">
        <v>136</v>
      </c>
    </row>
    <row r="14" spans="1:8" x14ac:dyDescent="0.3">
      <c r="A14" t="s">
        <v>101</v>
      </c>
      <c r="B14" t="s">
        <v>79</v>
      </c>
      <c r="E14" t="s">
        <v>119</v>
      </c>
    </row>
    <row r="15" spans="1:8" x14ac:dyDescent="0.3">
      <c r="A15" t="s">
        <v>102</v>
      </c>
      <c r="B15" t="s">
        <v>79</v>
      </c>
      <c r="E15" t="s">
        <v>119</v>
      </c>
    </row>
    <row r="16" spans="1:8" x14ac:dyDescent="0.3">
      <c r="A16" t="s">
        <v>103</v>
      </c>
      <c r="B16" t="s">
        <v>79</v>
      </c>
      <c r="E16" t="s">
        <v>119</v>
      </c>
    </row>
    <row r="17" spans="1:7" x14ac:dyDescent="0.3">
      <c r="A17" t="s">
        <v>104</v>
      </c>
      <c r="B17" t="s">
        <v>79</v>
      </c>
      <c r="E17" t="s">
        <v>118</v>
      </c>
    </row>
    <row r="18" spans="1:7" x14ac:dyDescent="0.3">
      <c r="A18" t="s">
        <v>105</v>
      </c>
      <c r="B18">
        <v>1.43</v>
      </c>
      <c r="C18">
        <f t="shared" si="0"/>
        <v>1.5052631578947369</v>
      </c>
      <c r="D18">
        <f t="shared" si="1"/>
        <v>1.7795686474586614</v>
      </c>
      <c r="F18">
        <v>3.0870000000000002</v>
      </c>
      <c r="G18" t="s">
        <v>138</v>
      </c>
    </row>
    <row r="19" spans="1:7" x14ac:dyDescent="0.3">
      <c r="A19" t="s">
        <v>106</v>
      </c>
      <c r="B19" t="s">
        <v>79</v>
      </c>
      <c r="E19" t="s">
        <v>119</v>
      </c>
    </row>
    <row r="20" spans="1:7" x14ac:dyDescent="0.3">
      <c r="A20" t="s">
        <v>107</v>
      </c>
      <c r="B20" t="s">
        <v>79</v>
      </c>
      <c r="E20" t="s">
        <v>119</v>
      </c>
    </row>
    <row r="21" spans="1:7" x14ac:dyDescent="0.3">
      <c r="A21" t="s">
        <v>108</v>
      </c>
      <c r="B21" t="s">
        <v>79</v>
      </c>
      <c r="E21" t="s">
        <v>119</v>
      </c>
    </row>
    <row r="22" spans="1:7" x14ac:dyDescent="0.3">
      <c r="A22" t="s">
        <v>109</v>
      </c>
      <c r="B22" t="s">
        <v>79</v>
      </c>
      <c r="E22" t="s">
        <v>119</v>
      </c>
    </row>
    <row r="23" spans="1:7" x14ac:dyDescent="0.3">
      <c r="A23" t="s">
        <v>110</v>
      </c>
      <c r="B23" t="s">
        <v>79</v>
      </c>
      <c r="E23" t="s">
        <v>119</v>
      </c>
    </row>
    <row r="24" spans="1:7" x14ac:dyDescent="0.3">
      <c r="A24" t="s">
        <v>111</v>
      </c>
      <c r="B24">
        <v>1.38</v>
      </c>
      <c r="C24">
        <f t="shared" si="0"/>
        <v>1.4526315789473683</v>
      </c>
      <c r="D24">
        <f t="shared" si="1"/>
        <v>1.6572989056776735</v>
      </c>
      <c r="F24">
        <v>2.5179999999999998</v>
      </c>
      <c r="G24" t="s">
        <v>139</v>
      </c>
    </row>
    <row r="25" spans="1:7" x14ac:dyDescent="0.3">
      <c r="A25" t="s">
        <v>112</v>
      </c>
      <c r="B25">
        <v>1.44</v>
      </c>
      <c r="C25">
        <f t="shared" si="0"/>
        <v>1.5157894736842106</v>
      </c>
      <c r="D25">
        <f t="shared" si="1"/>
        <v>1.8045447441783367</v>
      </c>
      <c r="F25">
        <v>2.7450000000000001</v>
      </c>
      <c r="G25" t="s">
        <v>136</v>
      </c>
    </row>
    <row r="26" spans="1:7" x14ac:dyDescent="0.3">
      <c r="A26" t="s">
        <v>113</v>
      </c>
      <c r="B26">
        <v>1.37</v>
      </c>
      <c r="C26">
        <f t="shared" si="0"/>
        <v>1.442105263157895</v>
      </c>
      <c r="D26">
        <f t="shared" si="1"/>
        <v>1.6333671056849541</v>
      </c>
      <c r="F26">
        <v>2.593</v>
      </c>
      <c r="G26" t="s">
        <v>140</v>
      </c>
    </row>
    <row r="27" spans="1:7" x14ac:dyDescent="0.3">
      <c r="A27" t="s">
        <v>114</v>
      </c>
      <c r="B27">
        <v>1.41</v>
      </c>
      <c r="C27">
        <f t="shared" si="0"/>
        <v>1.4842105263157894</v>
      </c>
      <c r="D27">
        <f t="shared" si="1"/>
        <v>1.7301386023827887</v>
      </c>
      <c r="F27">
        <v>2.5089999999999999</v>
      </c>
      <c r="G27" t="s">
        <v>141</v>
      </c>
    </row>
    <row r="28" spans="1:7" x14ac:dyDescent="0.3">
      <c r="A28" t="s">
        <v>120</v>
      </c>
      <c r="B28" t="s">
        <v>79</v>
      </c>
      <c r="E28" t="s">
        <v>118</v>
      </c>
      <c r="G28" t="s">
        <v>143</v>
      </c>
    </row>
    <row r="29" spans="1:7" x14ac:dyDescent="0.3">
      <c r="A29" t="s">
        <v>121</v>
      </c>
      <c r="B29" t="s">
        <v>79</v>
      </c>
      <c r="E29" t="s">
        <v>118</v>
      </c>
    </row>
    <row r="30" spans="1:7" x14ac:dyDescent="0.3">
      <c r="A30" t="s">
        <v>122</v>
      </c>
      <c r="B30">
        <v>1.48</v>
      </c>
      <c r="C30">
        <f t="shared" ref="C30" si="2">(B30/0.95)</f>
        <v>1.5578947368421052</v>
      </c>
      <c r="D30">
        <f t="shared" ref="D30" si="3">PI()*(C30/2)^2</f>
        <v>1.9061896256019619</v>
      </c>
      <c r="F30">
        <v>2.6160000000000001</v>
      </c>
      <c r="G30" t="s">
        <v>142</v>
      </c>
    </row>
    <row r="31" spans="1:7" x14ac:dyDescent="0.3">
      <c r="A31" t="s">
        <v>123</v>
      </c>
      <c r="B31" t="s">
        <v>79</v>
      </c>
      <c r="E31" t="s">
        <v>118</v>
      </c>
    </row>
    <row r="32" spans="1:7" x14ac:dyDescent="0.3">
      <c r="A32" t="s">
        <v>124</v>
      </c>
      <c r="B32" t="s">
        <v>79</v>
      </c>
      <c r="E32" t="s">
        <v>118</v>
      </c>
    </row>
    <row r="33" spans="1:5" x14ac:dyDescent="0.3">
      <c r="A33" t="s">
        <v>132</v>
      </c>
      <c r="B33" t="s">
        <v>79</v>
      </c>
      <c r="E33" t="s">
        <v>133</v>
      </c>
    </row>
    <row r="35" spans="1:5" x14ac:dyDescent="0.3">
      <c r="A35" t="s">
        <v>127</v>
      </c>
      <c r="C35" t="s">
        <v>128</v>
      </c>
    </row>
    <row r="36" spans="1:5" x14ac:dyDescent="0.3">
      <c r="A36" t="s">
        <v>126</v>
      </c>
      <c r="C36" t="s">
        <v>130</v>
      </c>
    </row>
    <row r="37" spans="1:5" x14ac:dyDescent="0.3">
      <c r="A37" t="s">
        <v>131</v>
      </c>
      <c r="C37" t="s">
        <v>129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E553B-1281-4079-BD09-E1DD4A4F3C5C}">
  <dimension ref="A1:B11"/>
  <sheetViews>
    <sheetView tabSelected="1" workbookViewId="0">
      <selection activeCell="C9" sqref="C9"/>
    </sheetView>
  </sheetViews>
  <sheetFormatPr defaultRowHeight="14.4" x14ac:dyDescent="0.3"/>
  <cols>
    <col min="1" max="1" width="15.5546875" customWidth="1"/>
    <col min="2" max="2" width="30.44140625" customWidth="1"/>
  </cols>
  <sheetData>
    <row r="1" spans="1:2" x14ac:dyDescent="0.3">
      <c r="A1" t="s">
        <v>75</v>
      </c>
      <c r="B1" t="s">
        <v>145</v>
      </c>
    </row>
    <row r="2" spans="1:2" x14ac:dyDescent="0.3">
      <c r="A2" t="s">
        <v>1</v>
      </c>
      <c r="B2">
        <v>24.24</v>
      </c>
    </row>
    <row r="3" spans="1:2" x14ac:dyDescent="0.3">
      <c r="A3" t="s">
        <v>2</v>
      </c>
      <c r="B3">
        <v>26.23</v>
      </c>
    </row>
    <row r="4" spans="1:2" x14ac:dyDescent="0.3">
      <c r="A4" t="s">
        <v>3</v>
      </c>
      <c r="B4">
        <v>38.29</v>
      </c>
    </row>
    <row r="5" spans="1:2" x14ac:dyDescent="0.3">
      <c r="A5" t="s">
        <v>4</v>
      </c>
      <c r="B5">
        <v>33.119999999999997</v>
      </c>
    </row>
    <row r="6" spans="1:2" x14ac:dyDescent="0.3">
      <c r="A6" t="s">
        <v>5</v>
      </c>
      <c r="B6">
        <v>41.55</v>
      </c>
    </row>
    <row r="7" spans="1:2" x14ac:dyDescent="0.3">
      <c r="A7" t="s">
        <v>6</v>
      </c>
      <c r="B7">
        <v>34.07</v>
      </c>
    </row>
    <row r="8" spans="1:2" x14ac:dyDescent="0.3">
      <c r="A8" t="s">
        <v>7</v>
      </c>
      <c r="B8">
        <v>36.72</v>
      </c>
    </row>
    <row r="9" spans="1:2" x14ac:dyDescent="0.3">
      <c r="A9" t="s">
        <v>8</v>
      </c>
      <c r="B9">
        <v>41.2</v>
      </c>
    </row>
    <row r="10" spans="1:2" x14ac:dyDescent="0.3">
      <c r="A10" t="s">
        <v>9</v>
      </c>
      <c r="B10">
        <v>32.71</v>
      </c>
    </row>
    <row r="11" spans="1:2" x14ac:dyDescent="0.3">
      <c r="A11" t="s">
        <v>10</v>
      </c>
      <c r="B11">
        <v>50.18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Materials</vt:lpstr>
      <vt:lpstr>Sheet1</vt:lpstr>
      <vt:lpstr>TestingSchedule</vt:lpstr>
      <vt:lpstr>BendingLocations</vt:lpstr>
      <vt:lpstr>Torsion sections</vt:lpstr>
      <vt:lpstr>CrossectionalAreas</vt:lpstr>
      <vt:lpstr>TiktaalikAreas</vt:lpstr>
      <vt:lpstr>DecreasedGageLengthsForSec1s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Korneisel</dc:creator>
  <cp:lastModifiedBy>Dana Korneisel</cp:lastModifiedBy>
  <dcterms:created xsi:type="dcterms:W3CDTF">2024-01-31T16:15:55Z</dcterms:created>
  <dcterms:modified xsi:type="dcterms:W3CDTF">2024-02-20T19:42:58Z</dcterms:modified>
</cp:coreProperties>
</file>