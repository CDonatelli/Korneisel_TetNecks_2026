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Research\00. Research Projects\04. Project Folders\Cassandra\LargeSturgeonData\"/>
    </mc:Choice>
  </mc:AlternateContent>
  <xr:revisionPtr revIDLastSave="0" documentId="13_ncr:1_{FC3730DD-185E-4566-BE7B-0FC52E9F9243}" xr6:coauthVersionLast="47" xr6:coauthVersionMax="47" xr10:uidLastSave="{00000000-0000-0000-0000-000000000000}"/>
  <bookViews>
    <workbookView xWindow="38970" yWindow="-2880" windowWidth="25530" windowHeight="12555" activeTab="2" xr2:uid="{FC19695C-DB0B-475A-9FFF-92AF6FB2D0BD}"/>
  </bookViews>
  <sheets>
    <sheet name="Original" sheetId="1" r:id="rId1"/>
    <sheet name="LateralBend" sheetId="4" r:id="rId2"/>
    <sheet name="DVBend" sheetId="5" r:id="rId3"/>
    <sheet name="Torsion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5" l="1"/>
  <c r="L2" i="4"/>
  <c r="J2" i="4"/>
  <c r="K2" i="4" s="1"/>
  <c r="J10" i="4"/>
  <c r="L3" i="4"/>
  <c r="L4" i="4"/>
  <c r="L5" i="4"/>
  <c r="L6" i="4"/>
  <c r="L7" i="4"/>
  <c r="L8" i="4"/>
  <c r="L9" i="4"/>
  <c r="L10" i="4"/>
  <c r="L11" i="4"/>
  <c r="H3" i="5"/>
  <c r="L3" i="5" s="1"/>
  <c r="H4" i="5"/>
  <c r="I4" i="5" s="1"/>
  <c r="H5" i="5"/>
  <c r="J5" i="5" s="1"/>
  <c r="K5" i="5" s="1"/>
  <c r="H6" i="5"/>
  <c r="I6" i="5" s="1"/>
  <c r="H7" i="5"/>
  <c r="L7" i="5" s="1"/>
  <c r="H8" i="5"/>
  <c r="L8" i="5" s="1"/>
  <c r="H9" i="5"/>
  <c r="L9" i="5" s="1"/>
  <c r="H2" i="5"/>
  <c r="L2" i="5" s="1"/>
  <c r="H3" i="4"/>
  <c r="I3" i="4" s="1"/>
  <c r="H4" i="4"/>
  <c r="J4" i="4" s="1"/>
  <c r="K4" i="4" s="1"/>
  <c r="H5" i="4"/>
  <c r="J5" i="4" s="1"/>
  <c r="K5" i="4" s="1"/>
  <c r="H6" i="4"/>
  <c r="I6" i="4" s="1"/>
  <c r="H7" i="4"/>
  <c r="H8" i="4"/>
  <c r="H9" i="4"/>
  <c r="H10" i="4"/>
  <c r="H11" i="4"/>
  <c r="H2" i="4"/>
  <c r="I2" i="4" s="1"/>
  <c r="D5" i="5"/>
  <c r="D6" i="5"/>
  <c r="D7" i="5"/>
  <c r="D8" i="5"/>
  <c r="D9" i="5"/>
  <c r="D4" i="5"/>
  <c r="I2" i="1"/>
  <c r="I3" i="1"/>
  <c r="I5" i="1"/>
  <c r="I6" i="1"/>
  <c r="I7" i="1"/>
  <c r="I8" i="1"/>
  <c r="I9" i="1"/>
  <c r="I10" i="1"/>
  <c r="I11" i="1"/>
  <c r="H2" i="1"/>
  <c r="H5" i="1"/>
  <c r="H3" i="1"/>
  <c r="H4" i="1"/>
  <c r="I4" i="1" s="1"/>
  <c r="H6" i="1"/>
  <c r="H7" i="1"/>
  <c r="H8" i="1"/>
  <c r="H9" i="1"/>
  <c r="H10" i="1"/>
  <c r="H11" i="1"/>
  <c r="J8" i="5" l="1"/>
  <c r="K8" i="5" s="1"/>
  <c r="I8" i="5"/>
  <c r="J2" i="5"/>
  <c r="K2" i="5" s="1"/>
  <c r="L6" i="5"/>
  <c r="L5" i="5"/>
  <c r="I9" i="5"/>
  <c r="J9" i="5"/>
  <c r="K9" i="5" s="1"/>
  <c r="J7" i="5"/>
  <c r="K7" i="5" s="1"/>
  <c r="I7" i="5"/>
  <c r="J3" i="5"/>
  <c r="K3" i="5" s="1"/>
  <c r="I4" i="4"/>
  <c r="I11" i="4"/>
  <c r="J3" i="4"/>
  <c r="K3" i="4" s="1"/>
  <c r="I10" i="4"/>
  <c r="I9" i="4"/>
  <c r="I8" i="4"/>
  <c r="I7" i="4"/>
  <c r="J6" i="5"/>
  <c r="K6" i="5" s="1"/>
  <c r="I5" i="4"/>
  <c r="J11" i="4"/>
  <c r="K11" i="4" s="1"/>
  <c r="K10" i="4"/>
  <c r="J9" i="4"/>
  <c r="K9" i="4" s="1"/>
  <c r="J8" i="4"/>
  <c r="K8" i="4" s="1"/>
  <c r="J7" i="4"/>
  <c r="K7" i="4" s="1"/>
  <c r="J6" i="4"/>
  <c r="K6" i="4" s="1"/>
  <c r="I5" i="5"/>
  <c r="I3" i="5"/>
  <c r="J4" i="5"/>
  <c r="K4" i="5" s="1"/>
  <c r="I2" i="5"/>
</calcChain>
</file>

<file path=xl/sharedStrings.xml><?xml version="1.0" encoding="utf-8"?>
<sst xmlns="http://schemas.openxmlformats.org/spreadsheetml/2006/main" count="170" uniqueCount="34">
  <si>
    <t>Dissection</t>
  </si>
  <si>
    <t>BendDirection</t>
  </si>
  <si>
    <t>Position</t>
  </si>
  <si>
    <t>TT.I</t>
  </si>
  <si>
    <t>F.N</t>
  </si>
  <si>
    <t>column</t>
  </si>
  <si>
    <t>Dorso</t>
  </si>
  <si>
    <t>Position 1</t>
  </si>
  <si>
    <t>notochord</t>
  </si>
  <si>
    <t>Lateral</t>
  </si>
  <si>
    <t>Position 2</t>
  </si>
  <si>
    <t>Position 3</t>
  </si>
  <si>
    <t>E.Pa</t>
  </si>
  <si>
    <t>TT.L (m)</t>
  </si>
  <si>
    <t>Disp mm</t>
  </si>
  <si>
    <t>Position 4</t>
  </si>
  <si>
    <t>Position 5</t>
  </si>
  <si>
    <t>Position 6</t>
  </si>
  <si>
    <t>E.GPa</t>
  </si>
  <si>
    <t>G.GPa</t>
  </si>
  <si>
    <t>Section</t>
  </si>
  <si>
    <t>I (m^4)</t>
  </si>
  <si>
    <t>L (m)</t>
  </si>
  <si>
    <t>E (Pa)</t>
  </si>
  <si>
    <t>F (N)</t>
  </si>
  <si>
    <t>Deflection Cantilever (m)</t>
  </si>
  <si>
    <t>Angle of deflection</t>
  </si>
  <si>
    <t>TT.Disp 3 pt bend (m)</t>
  </si>
  <si>
    <t>J</t>
  </si>
  <si>
    <t>Deflection Cantilever (mm)</t>
  </si>
  <si>
    <t>Angle of deflection rad</t>
  </si>
  <si>
    <t>mm</t>
  </si>
  <si>
    <t>degrees.sin</t>
  </si>
  <si>
    <t>degrees.tan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</si>
</sst>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8" formatCode="0.0000"/>
    <numFmt numFmtId="169" formatCode="0.000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Aptos Narrow"/>
      <family val="2"/>
    </font>
    <font>
      <sz val="10"/>
      <color rgb="FF000000"/>
      <name val="Lucida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11" fontId="1" fillId="2" borderId="1" xfId="0" applyNumberFormat="1" applyFont="1" applyFill="1" applyBorder="1" applyAlignment="1">
      <alignment horizontal="right" vertical="center" wrapText="1"/>
    </xf>
    <xf numFmtId="11" fontId="1" fillId="0" borderId="1" xfId="0" applyNumberFormat="1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11" fontId="0" fillId="0" borderId="0" xfId="0" applyNumberFormat="1"/>
    <xf numFmtId="0" fontId="0" fillId="2" borderId="0" xfId="0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11" fontId="2" fillId="2" borderId="0" xfId="0" applyNumberFormat="1" applyFont="1" applyFill="1" applyAlignment="1">
      <alignment horizontal="right" vertical="center"/>
    </xf>
    <xf numFmtId="0" fontId="1" fillId="0" borderId="3" xfId="0" applyFont="1" applyBorder="1" applyAlignment="1">
      <alignment wrapText="1"/>
    </xf>
    <xf numFmtId="0" fontId="0" fillId="3" borderId="0" xfId="0" applyFill="1"/>
    <xf numFmtId="0" fontId="1" fillId="3" borderId="1" xfId="0" applyFont="1" applyFill="1" applyBorder="1" applyAlignment="1">
      <alignment horizontal="right" vertical="center" wrapText="1"/>
    </xf>
    <xf numFmtId="164" fontId="0" fillId="0" borderId="0" xfId="0" applyNumberFormat="1"/>
    <xf numFmtId="169" fontId="2" fillId="2" borderId="0" xfId="0" applyNumberFormat="1" applyFont="1" applyFill="1" applyAlignment="1">
      <alignment vertical="center"/>
    </xf>
    <xf numFmtId="2" fontId="0" fillId="0" borderId="0" xfId="0" applyNumberFormat="1"/>
    <xf numFmtId="0" fontId="1" fillId="0" borderId="3" xfId="0" applyFont="1" applyFill="1" applyBorder="1" applyAlignment="1">
      <alignment wrapText="1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1481E-5776-4171-B031-B47D502C69FA}">
  <dimension ref="A1:I11"/>
  <sheetViews>
    <sheetView workbookViewId="0">
      <selection activeCell="H12" sqref="H12"/>
    </sheetView>
  </sheetViews>
  <sheetFormatPr defaultRowHeight="14.5" x14ac:dyDescent="0.35"/>
  <cols>
    <col min="1" max="1" width="18.08984375" customWidth="1"/>
    <col min="2" max="2" width="14.453125" customWidth="1"/>
    <col min="3" max="3" width="17.36328125" customWidth="1"/>
    <col min="4" max="4" width="12.1796875" customWidth="1"/>
    <col min="5" max="5" width="10.6328125" customWidth="1"/>
    <col min="6" max="6" width="7.54296875" customWidth="1"/>
    <col min="7" max="7" width="10.90625" customWidth="1"/>
    <col min="8" max="8" width="14.6328125" customWidth="1"/>
  </cols>
  <sheetData>
    <row r="1" spans="1:9" ht="32.5" thickBot="1" x14ac:dyDescent="0.4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4</v>
      </c>
      <c r="G1" s="1" t="s">
        <v>13</v>
      </c>
      <c r="H1" s="1" t="s">
        <v>27</v>
      </c>
      <c r="I1" s="8" t="s">
        <v>14</v>
      </c>
    </row>
    <row r="2" spans="1:9" ht="16.5" thickBot="1" x14ac:dyDescent="0.45">
      <c r="A2" s="2" t="s">
        <v>5</v>
      </c>
      <c r="B2" s="2" t="s">
        <v>6</v>
      </c>
      <c r="C2" s="2" t="s">
        <v>7</v>
      </c>
      <c r="D2" s="6">
        <v>1348609700</v>
      </c>
      <c r="E2" s="6">
        <v>1.6592099999999999E-8</v>
      </c>
      <c r="F2" s="17">
        <v>400</v>
      </c>
      <c r="G2" s="3">
        <v>4.7300000000000002E-2</v>
      </c>
      <c r="H2" s="7">
        <f>(F2*G2^3)/(48*D2*E2)</f>
        <v>3.941073555896758E-5</v>
      </c>
      <c r="I2" s="9">
        <f>(H2*1000)</f>
        <v>3.9410735558967583E-2</v>
      </c>
    </row>
    <row r="3" spans="1:9" ht="16.5" thickBot="1" x14ac:dyDescent="0.45">
      <c r="A3" s="2" t="s">
        <v>8</v>
      </c>
      <c r="B3" s="2" t="s">
        <v>6</v>
      </c>
      <c r="C3" s="2" t="s">
        <v>7</v>
      </c>
      <c r="D3" s="6">
        <v>1067030100</v>
      </c>
      <c r="E3" s="6">
        <v>3.1001000000000001E-9</v>
      </c>
      <c r="F3" s="17">
        <v>400</v>
      </c>
      <c r="G3" s="3">
        <v>4.7600000000000003E-2</v>
      </c>
      <c r="H3" s="4">
        <f t="shared" ref="H3:H11" si="0">(F3*G3^3)/(48*D3*E3)</f>
        <v>2.7169849848298597E-4</v>
      </c>
      <c r="I3" s="9">
        <f t="shared" ref="I3:I11" si="1">(H3*1000)</f>
        <v>0.271698498482986</v>
      </c>
    </row>
    <row r="4" spans="1:9" ht="16.5" thickBot="1" x14ac:dyDescent="0.45">
      <c r="A4" s="2" t="s">
        <v>5</v>
      </c>
      <c r="B4" s="2" t="s">
        <v>9</v>
      </c>
      <c r="C4" s="2" t="s">
        <v>7</v>
      </c>
      <c r="D4" s="6">
        <v>1818988700</v>
      </c>
      <c r="E4" s="6">
        <v>8.0577499999999998E-9</v>
      </c>
      <c r="F4" s="17">
        <v>400</v>
      </c>
      <c r="G4" s="3">
        <v>4.7600000000000003E-2</v>
      </c>
      <c r="H4" s="4">
        <f t="shared" si="0"/>
        <v>6.131910708886226E-5</v>
      </c>
      <c r="I4" s="9">
        <f t="shared" si="1"/>
        <v>6.1319107088862262E-2</v>
      </c>
    </row>
    <row r="5" spans="1:9" ht="16.5" thickBot="1" x14ac:dyDescent="0.45">
      <c r="A5" s="2" t="s">
        <v>8</v>
      </c>
      <c r="B5" s="2" t="s">
        <v>9</v>
      </c>
      <c r="C5" s="2" t="s">
        <v>7</v>
      </c>
      <c r="D5" s="6">
        <v>524854200</v>
      </c>
      <c r="E5" s="6">
        <v>3.1001000000000001E-9</v>
      </c>
      <c r="F5" s="17">
        <v>400</v>
      </c>
      <c r="G5" s="3">
        <v>4.7600000000000003E-2</v>
      </c>
      <c r="H5" s="4">
        <f t="shared" si="0"/>
        <v>5.5236382981435682E-4</v>
      </c>
      <c r="I5" s="9">
        <f t="shared" si="1"/>
        <v>0.55236382981435683</v>
      </c>
    </row>
    <row r="6" spans="1:9" ht="16.5" thickBot="1" x14ac:dyDescent="0.45">
      <c r="A6" s="2" t="s">
        <v>5</v>
      </c>
      <c r="B6" s="2" t="s">
        <v>6</v>
      </c>
      <c r="C6" s="2" t="s">
        <v>10</v>
      </c>
      <c r="D6" s="6">
        <v>953919000</v>
      </c>
      <c r="E6" s="3">
        <v>1</v>
      </c>
      <c r="F6" s="17">
        <v>10</v>
      </c>
      <c r="G6" s="3">
        <v>5</v>
      </c>
      <c r="H6" s="4">
        <f t="shared" si="0"/>
        <v>2.7299662410190661E-8</v>
      </c>
      <c r="I6" s="9">
        <f t="shared" si="1"/>
        <v>2.7299662410190662E-5</v>
      </c>
    </row>
    <row r="7" spans="1:9" ht="16.5" thickBot="1" x14ac:dyDescent="0.45">
      <c r="A7" s="2" t="s">
        <v>8</v>
      </c>
      <c r="B7" s="2" t="s">
        <v>6</v>
      </c>
      <c r="C7" s="2" t="s">
        <v>10</v>
      </c>
      <c r="D7" s="6">
        <v>553990400</v>
      </c>
      <c r="E7" s="3">
        <v>1</v>
      </c>
      <c r="F7" s="17">
        <v>10</v>
      </c>
      <c r="G7" s="3">
        <v>5</v>
      </c>
      <c r="H7" s="4">
        <f t="shared" si="0"/>
        <v>4.7007433101127145E-8</v>
      </c>
      <c r="I7" s="9">
        <f t="shared" si="1"/>
        <v>4.7007433101127145E-5</v>
      </c>
    </row>
    <row r="8" spans="1:9" ht="16.5" thickBot="1" x14ac:dyDescent="0.45">
      <c r="A8" s="2" t="s">
        <v>5</v>
      </c>
      <c r="B8" s="2" t="s">
        <v>9</v>
      </c>
      <c r="C8" s="2" t="s">
        <v>10</v>
      </c>
      <c r="D8" s="6">
        <v>1507190700</v>
      </c>
      <c r="E8" s="3">
        <v>1</v>
      </c>
      <c r="F8" s="17">
        <v>10</v>
      </c>
      <c r="G8" s="3">
        <v>5</v>
      </c>
      <c r="H8" s="4">
        <f t="shared" si="0"/>
        <v>1.7278282480555823E-8</v>
      </c>
      <c r="I8" s="9">
        <f t="shared" si="1"/>
        <v>1.7278282480555822E-5</v>
      </c>
    </row>
    <row r="9" spans="1:9" ht="16.5" thickBot="1" x14ac:dyDescent="0.45">
      <c r="A9" s="2" t="s">
        <v>8</v>
      </c>
      <c r="B9" s="2" t="s">
        <v>9</v>
      </c>
      <c r="C9" s="2" t="s">
        <v>10</v>
      </c>
      <c r="D9" s="6">
        <v>451667000</v>
      </c>
      <c r="E9" s="3">
        <v>1</v>
      </c>
      <c r="F9" s="17">
        <v>10</v>
      </c>
      <c r="G9" s="3">
        <v>5</v>
      </c>
      <c r="H9" s="4">
        <f t="shared" si="0"/>
        <v>5.7656784017133566E-8</v>
      </c>
      <c r="I9" s="9">
        <f t="shared" si="1"/>
        <v>5.7656784017133569E-5</v>
      </c>
    </row>
    <row r="10" spans="1:9" ht="16.5" thickBot="1" x14ac:dyDescent="0.45">
      <c r="A10" s="2" t="s">
        <v>5</v>
      </c>
      <c r="B10" s="2" t="s">
        <v>6</v>
      </c>
      <c r="C10" s="2" t="s">
        <v>11</v>
      </c>
      <c r="D10" s="6">
        <v>1148559400</v>
      </c>
      <c r="E10" s="3">
        <v>1</v>
      </c>
      <c r="F10" s="17">
        <v>10</v>
      </c>
      <c r="G10" s="3">
        <v>5</v>
      </c>
      <c r="H10" s="4">
        <f t="shared" si="0"/>
        <v>2.2673330318542225E-8</v>
      </c>
      <c r="I10" s="9">
        <f t="shared" si="1"/>
        <v>2.2673330318542224E-5</v>
      </c>
    </row>
    <row r="11" spans="1:9" ht="16.5" thickBot="1" x14ac:dyDescent="0.45">
      <c r="A11" s="2" t="s">
        <v>8</v>
      </c>
      <c r="B11" s="2" t="s">
        <v>6</v>
      </c>
      <c r="C11" s="2" t="s">
        <v>11</v>
      </c>
      <c r="D11" s="6">
        <v>1256875100</v>
      </c>
      <c r="E11" s="5">
        <v>1</v>
      </c>
      <c r="F11" s="17">
        <v>10</v>
      </c>
      <c r="G11" s="3">
        <v>5</v>
      </c>
      <c r="H11" s="4">
        <f t="shared" si="0"/>
        <v>2.0719375112663673E-8</v>
      </c>
      <c r="I11" s="9">
        <f t="shared" si="1"/>
        <v>2.0719375112663671E-5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39A0-C2CB-442F-B5A7-8C37E696DF5F}">
  <dimension ref="A1:L30"/>
  <sheetViews>
    <sheetView zoomScaleNormal="100" workbookViewId="0">
      <selection activeCell="K1" sqref="K1:L1"/>
    </sheetView>
  </sheetViews>
  <sheetFormatPr defaultRowHeight="14.5" x14ac:dyDescent="0.35"/>
  <cols>
    <col min="1" max="1" width="18.08984375" customWidth="1"/>
    <col min="2" max="2" width="15.6328125" customWidth="1"/>
    <col min="3" max="3" width="10.453125" customWidth="1"/>
    <col min="4" max="4" width="15.453125" customWidth="1"/>
    <col min="5" max="5" width="10.1796875" customWidth="1"/>
    <col min="6" max="6" width="10.6328125" customWidth="1"/>
    <col min="8" max="9" width="11.81640625" customWidth="1"/>
    <col min="10" max="10" width="10.453125" customWidth="1"/>
    <col min="11" max="11" width="12" customWidth="1"/>
    <col min="12" max="12" width="12.54296875" customWidth="1"/>
  </cols>
  <sheetData>
    <row r="1" spans="1:12" ht="48.5" thickBot="1" x14ac:dyDescent="0.45">
      <c r="A1" s="1" t="s">
        <v>0</v>
      </c>
      <c r="B1" s="1" t="s">
        <v>2</v>
      </c>
      <c r="C1" s="1" t="s">
        <v>18</v>
      </c>
      <c r="D1" s="1" t="s">
        <v>23</v>
      </c>
      <c r="E1" s="1" t="s">
        <v>21</v>
      </c>
      <c r="F1" s="10" t="s">
        <v>22</v>
      </c>
      <c r="G1" s="15" t="s">
        <v>24</v>
      </c>
      <c r="H1" s="15" t="s">
        <v>25</v>
      </c>
      <c r="I1" s="15" t="s">
        <v>29</v>
      </c>
      <c r="J1" s="15" t="s">
        <v>30</v>
      </c>
      <c r="K1" s="15" t="s">
        <v>33</v>
      </c>
      <c r="L1" s="21" t="s">
        <v>32</v>
      </c>
    </row>
    <row r="2" spans="1:12" x14ac:dyDescent="0.35">
      <c r="A2" s="11" t="s">
        <v>5</v>
      </c>
      <c r="B2" s="11" t="s">
        <v>7</v>
      </c>
      <c r="C2" s="12">
        <v>1.8189887</v>
      </c>
      <c r="D2" s="14">
        <v>1818988870</v>
      </c>
      <c r="E2" s="14">
        <v>3.2541069999999998E-10</v>
      </c>
      <c r="F2" s="19">
        <v>4.7300000000000002E-2</v>
      </c>
      <c r="G2" s="16">
        <v>100</v>
      </c>
      <c r="H2" s="18">
        <f>(G2*F2^3)/(3*D2*E2)</f>
        <v>5.959369263531143E-3</v>
      </c>
      <c r="I2" s="18">
        <f>H2*1000</f>
        <v>5.9593692635311433</v>
      </c>
      <c r="J2">
        <f>ATAN(H2/F2)</f>
        <v>0.1253305242704803</v>
      </c>
      <c r="K2">
        <f>J2*180/PI()</f>
        <v>7.1809100848604519</v>
      </c>
      <c r="L2">
        <f>DEGREES(ASIN(H2*SIN(90)/F2))</f>
        <v>6.4672594669771684</v>
      </c>
    </row>
    <row r="3" spans="1:12" x14ac:dyDescent="0.35">
      <c r="A3" s="11" t="s">
        <v>8</v>
      </c>
      <c r="B3" s="11" t="s">
        <v>7</v>
      </c>
      <c r="C3" s="12">
        <v>0.52485420000000005</v>
      </c>
      <c r="D3" s="12">
        <v>524854200</v>
      </c>
      <c r="E3" s="14">
        <v>5.5189120000000001E-11</v>
      </c>
      <c r="F3" s="19">
        <v>4.7300000000000002E-2</v>
      </c>
      <c r="G3" s="16">
        <v>10</v>
      </c>
      <c r="H3" s="18">
        <f t="shared" ref="H3:H11" si="0">(G3*F3^3)/(3*D3*E3)</f>
        <v>1.217783320504748E-2</v>
      </c>
      <c r="I3" s="18">
        <f t="shared" ref="I3:I11" si="1">H3*1000</f>
        <v>12.177833205047479</v>
      </c>
      <c r="J3">
        <f>ATAN(H3/F3)</f>
        <v>0.25198693057815025</v>
      </c>
      <c r="K3">
        <f t="shared" ref="K3:K11" si="2">J3*180/PI()</f>
        <v>14.43778761458408</v>
      </c>
      <c r="L3">
        <f t="shared" ref="L3:L11" si="3">DEGREES(ASIN(H3*SIN(90)/F3))</f>
        <v>13.306957648456441</v>
      </c>
    </row>
    <row r="4" spans="1:12" x14ac:dyDescent="0.35">
      <c r="A4" s="11" t="s">
        <v>5</v>
      </c>
      <c r="B4" s="11" t="s">
        <v>10</v>
      </c>
      <c r="C4" s="12">
        <v>1.5071907</v>
      </c>
      <c r="D4" s="12">
        <v>1507190700</v>
      </c>
      <c r="E4" s="14">
        <v>3.3144469999999999E-10</v>
      </c>
      <c r="F4" s="19">
        <v>4.7300000000000002E-2</v>
      </c>
      <c r="G4" s="16">
        <v>100</v>
      </c>
      <c r="H4" s="18">
        <f t="shared" si="0"/>
        <v>7.0612710603600139E-3</v>
      </c>
      <c r="I4" s="18">
        <f t="shared" si="1"/>
        <v>7.0612710603600135</v>
      </c>
      <c r="J4">
        <f t="shared" ref="J4:J11" si="4">ATAN(H4/F4)</f>
        <v>0.14819248072241628</v>
      </c>
      <c r="K4">
        <f t="shared" si="2"/>
        <v>8.4908037009682662</v>
      </c>
      <c r="L4">
        <f t="shared" si="3"/>
        <v>7.6696944052274398</v>
      </c>
    </row>
    <row r="5" spans="1:12" x14ac:dyDescent="0.35">
      <c r="A5" s="11" t="s">
        <v>8</v>
      </c>
      <c r="B5" s="11" t="s">
        <v>10</v>
      </c>
      <c r="C5" s="12">
        <v>0.45166699999999999</v>
      </c>
      <c r="D5" s="12">
        <v>451667000</v>
      </c>
      <c r="E5" s="14">
        <v>5.153518E-11</v>
      </c>
      <c r="F5" s="19">
        <v>4.7300000000000002E-2</v>
      </c>
      <c r="G5" s="16">
        <v>10</v>
      </c>
      <c r="H5" s="18">
        <f t="shared" si="0"/>
        <v>1.5154444070276295E-2</v>
      </c>
      <c r="I5" s="18">
        <f t="shared" si="1"/>
        <v>15.154444070276295</v>
      </c>
      <c r="J5">
        <f t="shared" si="4"/>
        <v>0.31005662189425898</v>
      </c>
      <c r="K5">
        <f t="shared" si="2"/>
        <v>17.764935844624596</v>
      </c>
      <c r="L5">
        <f t="shared" si="3"/>
        <v>16.644198162409392</v>
      </c>
    </row>
    <row r="6" spans="1:12" x14ac:dyDescent="0.35">
      <c r="A6" s="11" t="s">
        <v>5</v>
      </c>
      <c r="B6" s="11" t="s">
        <v>11</v>
      </c>
      <c r="C6" s="12">
        <v>1.7305193000000001</v>
      </c>
      <c r="D6" s="12">
        <v>1730519300</v>
      </c>
      <c r="E6" s="14">
        <v>2.9784199999999999E-10</v>
      </c>
      <c r="F6" s="19">
        <v>4.7300000000000002E-2</v>
      </c>
      <c r="G6" s="16">
        <v>100</v>
      </c>
      <c r="H6" s="18">
        <f t="shared" si="0"/>
        <v>6.8438389445602821E-3</v>
      </c>
      <c r="I6" s="18">
        <f t="shared" si="1"/>
        <v>6.8438389445602823</v>
      </c>
      <c r="J6">
        <f t="shared" si="4"/>
        <v>0.14369283215544618</v>
      </c>
      <c r="K6">
        <f t="shared" si="2"/>
        <v>8.2329928287887899</v>
      </c>
      <c r="L6">
        <f t="shared" si="3"/>
        <v>7.4321724126593223</v>
      </c>
    </row>
    <row r="7" spans="1:12" x14ac:dyDescent="0.35">
      <c r="A7" s="11" t="s">
        <v>8</v>
      </c>
      <c r="B7" s="11" t="s">
        <v>11</v>
      </c>
      <c r="C7" s="12">
        <v>0.44167250000000002</v>
      </c>
      <c r="D7" s="12">
        <v>441672500</v>
      </c>
      <c r="E7" s="14">
        <v>3.6169219999999998E-11</v>
      </c>
      <c r="F7" s="19">
        <v>4.7300000000000002E-2</v>
      </c>
      <c r="G7" s="16">
        <v>10</v>
      </c>
      <c r="H7" s="18">
        <f t="shared" si="0"/>
        <v>2.2081199667688858E-2</v>
      </c>
      <c r="I7" s="18">
        <f t="shared" si="1"/>
        <v>22.081199667688857</v>
      </c>
      <c r="J7">
        <f t="shared" si="4"/>
        <v>0.43676371730704194</v>
      </c>
      <c r="K7">
        <f t="shared" si="2"/>
        <v>25.024717646138495</v>
      </c>
      <c r="L7">
        <f t="shared" si="3"/>
        <v>24.667213093042413</v>
      </c>
    </row>
    <row r="8" spans="1:12" x14ac:dyDescent="0.35">
      <c r="A8" s="11" t="s">
        <v>5</v>
      </c>
      <c r="B8" s="11" t="s">
        <v>15</v>
      </c>
      <c r="C8" s="12">
        <v>1.7263763999999999</v>
      </c>
      <c r="D8" s="12">
        <v>1726376400</v>
      </c>
      <c r="E8" s="14">
        <v>2.9722900000000001E-10</v>
      </c>
      <c r="F8" s="19">
        <v>4.7300000000000002E-2</v>
      </c>
      <c r="G8" s="16">
        <v>100</v>
      </c>
      <c r="H8" s="18">
        <f t="shared" si="0"/>
        <v>6.8744110470253441E-3</v>
      </c>
      <c r="I8" s="18">
        <f t="shared" si="1"/>
        <v>6.8744110470253439</v>
      </c>
      <c r="J8">
        <f t="shared" si="4"/>
        <v>0.14432586485782384</v>
      </c>
      <c r="K8">
        <f t="shared" si="2"/>
        <v>8.2692629309287913</v>
      </c>
      <c r="L8">
        <f t="shared" si="3"/>
        <v>7.4655614029552799</v>
      </c>
    </row>
    <row r="9" spans="1:12" x14ac:dyDescent="0.35">
      <c r="A9" s="11" t="s">
        <v>8</v>
      </c>
      <c r="B9" s="11" t="s">
        <v>15</v>
      </c>
      <c r="C9" s="12">
        <v>0.20069229999999999</v>
      </c>
      <c r="D9" s="12">
        <v>200692300</v>
      </c>
      <c r="E9" s="14">
        <v>2.4641869999999999E-11</v>
      </c>
      <c r="F9" s="19">
        <v>4.7300000000000002E-2</v>
      </c>
      <c r="G9" s="16">
        <v>5</v>
      </c>
      <c r="H9" s="18">
        <f t="shared" si="0"/>
        <v>3.5663815105002952E-2</v>
      </c>
      <c r="I9" s="18">
        <f t="shared" si="1"/>
        <v>35.663815105002953</v>
      </c>
      <c r="J9">
        <f t="shared" si="4"/>
        <v>0.64605100952491534</v>
      </c>
      <c r="K9">
        <f t="shared" si="2"/>
        <v>37.015996195943792</v>
      </c>
      <c r="L9">
        <f t="shared" si="3"/>
        <v>42.381677937035576</v>
      </c>
    </row>
    <row r="10" spans="1:12" x14ac:dyDescent="0.35">
      <c r="A10" s="11" t="s">
        <v>5</v>
      </c>
      <c r="B10" s="11" t="s">
        <v>16</v>
      </c>
      <c r="C10" s="12">
        <v>1.5238217000000001</v>
      </c>
      <c r="D10" s="12">
        <v>1523821700</v>
      </c>
      <c r="E10" s="14">
        <v>1.7259790000000001E-10</v>
      </c>
      <c r="F10" s="19">
        <v>4.7300000000000002E-2</v>
      </c>
      <c r="G10" s="16">
        <v>100</v>
      </c>
      <c r="H10" s="18">
        <f t="shared" si="0"/>
        <v>1.3411967929835652E-2</v>
      </c>
      <c r="I10" s="18">
        <f t="shared" si="1"/>
        <v>13.411967929835651</v>
      </c>
      <c r="J10">
        <f>ATAN(H10/F10)</f>
        <v>0.27629860944283102</v>
      </c>
      <c r="K10">
        <f t="shared" si="2"/>
        <v>15.830744206407692</v>
      </c>
      <c r="L10">
        <f t="shared" si="3"/>
        <v>14.68435134191307</v>
      </c>
    </row>
    <row r="11" spans="1:12" x14ac:dyDescent="0.35">
      <c r="A11" s="11" t="s">
        <v>5</v>
      </c>
      <c r="B11" s="11" t="s">
        <v>17</v>
      </c>
      <c r="C11" s="12">
        <v>1.7154526000000001</v>
      </c>
      <c r="D11" s="12">
        <v>1715452600</v>
      </c>
      <c r="E11" s="14">
        <v>1.6508089999999999E-10</v>
      </c>
      <c r="F11" s="19">
        <v>4.7300000000000002E-2</v>
      </c>
      <c r="G11" s="16">
        <v>10</v>
      </c>
      <c r="H11" s="18">
        <f t="shared" si="0"/>
        <v>1.2456229952612461E-3</v>
      </c>
      <c r="I11" s="18">
        <f t="shared" si="1"/>
        <v>1.2456229952612461</v>
      </c>
      <c r="J11">
        <f t="shared" si="4"/>
        <v>2.6328439017506002E-2</v>
      </c>
      <c r="K11">
        <f t="shared" si="2"/>
        <v>1.5085084368706578</v>
      </c>
      <c r="L11">
        <f t="shared" si="3"/>
        <v>1.3490378487184536</v>
      </c>
    </row>
    <row r="21" spans="3:7" x14ac:dyDescent="0.35">
      <c r="C21" s="14">
        <v>3.2541069999999998E-10</v>
      </c>
      <c r="D21" s="13"/>
      <c r="E21" s="10"/>
      <c r="F21" s="10"/>
      <c r="G21" s="10"/>
    </row>
    <row r="22" spans="3:7" x14ac:dyDescent="0.35">
      <c r="C22" s="11" t="s">
        <v>8</v>
      </c>
      <c r="D22" s="11" t="s">
        <v>9</v>
      </c>
      <c r="E22" s="11" t="s">
        <v>7</v>
      </c>
      <c r="F22" s="14">
        <v>5.5189120000000001E-11</v>
      </c>
      <c r="G22" s="13"/>
    </row>
    <row r="23" spans="3:7" x14ac:dyDescent="0.35">
      <c r="C23" s="11" t="s">
        <v>5</v>
      </c>
      <c r="D23" s="11" t="s">
        <v>9</v>
      </c>
      <c r="E23" s="11" t="s">
        <v>10</v>
      </c>
      <c r="F23" s="14">
        <v>3.3144469999999999E-10</v>
      </c>
      <c r="G23" s="13"/>
    </row>
    <row r="24" spans="3:7" x14ac:dyDescent="0.35">
      <c r="C24" s="11" t="s">
        <v>8</v>
      </c>
      <c r="D24" s="11" t="s">
        <v>9</v>
      </c>
      <c r="E24" s="11" t="s">
        <v>10</v>
      </c>
      <c r="F24" s="14">
        <v>5.153518E-11</v>
      </c>
      <c r="G24" s="13"/>
    </row>
    <row r="25" spans="3:7" x14ac:dyDescent="0.35">
      <c r="C25" s="11" t="s">
        <v>5</v>
      </c>
      <c r="D25" s="11" t="s">
        <v>9</v>
      </c>
      <c r="E25" s="11" t="s">
        <v>11</v>
      </c>
      <c r="F25" s="14">
        <v>2.9784199999999999E-10</v>
      </c>
      <c r="G25" s="13"/>
    </row>
    <row r="26" spans="3:7" x14ac:dyDescent="0.35">
      <c r="C26" s="11" t="s">
        <v>8</v>
      </c>
      <c r="D26" s="11" t="s">
        <v>9</v>
      </c>
      <c r="E26" s="11" t="s">
        <v>11</v>
      </c>
      <c r="F26" s="14">
        <v>3.6169219999999998E-11</v>
      </c>
      <c r="G26" s="13"/>
    </row>
    <row r="27" spans="3:7" x14ac:dyDescent="0.35">
      <c r="C27" s="11" t="s">
        <v>5</v>
      </c>
      <c r="D27" s="11" t="s">
        <v>9</v>
      </c>
      <c r="E27" s="11" t="s">
        <v>15</v>
      </c>
      <c r="F27" s="14">
        <v>2.9722900000000001E-10</v>
      </c>
      <c r="G27" s="13"/>
    </row>
    <row r="28" spans="3:7" x14ac:dyDescent="0.35">
      <c r="C28" s="11" t="s">
        <v>8</v>
      </c>
      <c r="D28" s="11" t="s">
        <v>9</v>
      </c>
      <c r="E28" s="11" t="s">
        <v>15</v>
      </c>
      <c r="F28" s="14">
        <v>2.4641869999999999E-11</v>
      </c>
      <c r="G28" s="13"/>
    </row>
    <row r="29" spans="3:7" x14ac:dyDescent="0.35">
      <c r="C29" s="11" t="s">
        <v>5</v>
      </c>
      <c r="D29" s="11" t="s">
        <v>9</v>
      </c>
      <c r="E29" s="11" t="s">
        <v>16</v>
      </c>
      <c r="F29" s="14">
        <v>1.7259790000000001E-10</v>
      </c>
      <c r="G29" s="13"/>
    </row>
    <row r="30" spans="3:7" x14ac:dyDescent="0.35">
      <c r="C30" s="11" t="s">
        <v>5</v>
      </c>
      <c r="D30" s="11" t="s">
        <v>9</v>
      </c>
      <c r="E30" s="11" t="s">
        <v>17</v>
      </c>
      <c r="F30" s="14">
        <v>1.6508089999999999E-10</v>
      </c>
      <c r="G3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9B25A-93B8-4DCC-ABB4-7219E913D2F4}">
  <dimension ref="A1:L26"/>
  <sheetViews>
    <sheetView tabSelected="1" workbookViewId="0">
      <selection activeCell="I12" sqref="I12"/>
    </sheetView>
  </sheetViews>
  <sheetFormatPr defaultRowHeight="14.5" x14ac:dyDescent="0.35"/>
  <cols>
    <col min="1" max="1" width="11.54296875" customWidth="1"/>
    <col min="2" max="2" width="13.6328125" customWidth="1"/>
    <col min="3" max="3" width="18.1796875" customWidth="1"/>
    <col min="4" max="4" width="12.6328125" customWidth="1"/>
    <col min="5" max="5" width="15.1796875" customWidth="1"/>
    <col min="8" max="9" width="14" customWidth="1"/>
    <col min="10" max="10" width="10.26953125" customWidth="1"/>
    <col min="12" max="12" width="8.81640625" customWidth="1"/>
  </cols>
  <sheetData>
    <row r="1" spans="1:12" ht="32.5" thickBot="1" x14ac:dyDescent="0.45">
      <c r="A1" s="1" t="s">
        <v>0</v>
      </c>
      <c r="B1" s="1" t="s">
        <v>2</v>
      </c>
      <c r="C1" s="1" t="s">
        <v>18</v>
      </c>
      <c r="D1" s="1" t="s">
        <v>23</v>
      </c>
      <c r="E1" s="1" t="s">
        <v>21</v>
      </c>
      <c r="F1" s="10" t="s">
        <v>22</v>
      </c>
      <c r="G1" s="15" t="s">
        <v>24</v>
      </c>
      <c r="H1" s="15" t="s">
        <v>25</v>
      </c>
      <c r="I1" s="15" t="s">
        <v>31</v>
      </c>
      <c r="J1" s="15" t="s">
        <v>26</v>
      </c>
      <c r="K1" s="15" t="s">
        <v>33</v>
      </c>
      <c r="L1" s="21" t="s">
        <v>32</v>
      </c>
    </row>
    <row r="2" spans="1:12" x14ac:dyDescent="0.35">
      <c r="A2" s="11" t="s">
        <v>5</v>
      </c>
      <c r="B2" s="11" t="s">
        <v>7</v>
      </c>
      <c r="C2" s="12">
        <v>1.3486096999999999</v>
      </c>
      <c r="D2" s="14">
        <v>1348609700</v>
      </c>
      <c r="E2" s="14">
        <v>1.4855590000000001E-9</v>
      </c>
      <c r="F2" s="13">
        <v>4.7300000000000002E-2</v>
      </c>
      <c r="G2" s="16">
        <v>5</v>
      </c>
      <c r="H2" s="9">
        <f>(G2*F2^3)/(3*D2*E2)</f>
        <v>8.8035125561212421E-5</v>
      </c>
      <c r="I2" s="18">
        <f>H2*1000</f>
        <v>8.8035125561212416E-2</v>
      </c>
      <c r="J2" s="22">
        <f>ATAN(H2/F2)</f>
        <v>1.8612055794383542E-3</v>
      </c>
      <c r="K2" s="20">
        <f>J2*180/PI()</f>
        <v>0.10663922450801856</v>
      </c>
      <c r="L2" s="20">
        <f>DEGREES(ASIN(H2*SIN(90)/F2))</f>
        <v>9.533526499331918E-2</v>
      </c>
    </row>
    <row r="3" spans="1:12" x14ac:dyDescent="0.35">
      <c r="A3" s="11" t="s">
        <v>8</v>
      </c>
      <c r="B3" s="11" t="s">
        <v>7</v>
      </c>
      <c r="C3" s="12">
        <v>1.0670301</v>
      </c>
      <c r="D3" s="12">
        <v>1067030100</v>
      </c>
      <c r="E3" s="14">
        <v>5.7860440000000003E-11</v>
      </c>
      <c r="F3" s="13">
        <v>4.7300000000000002E-2</v>
      </c>
      <c r="G3" s="16">
        <v>5</v>
      </c>
      <c r="H3" s="9">
        <f t="shared" ref="H3:H9" si="0">(G3*F3^3)/(3*D3*E3)</f>
        <v>2.8567600851877525E-3</v>
      </c>
      <c r="I3" s="18">
        <f t="shared" ref="I3:I9" si="1">H3*1000</f>
        <v>2.8567600851877524</v>
      </c>
      <c r="J3" s="22">
        <f>ATAN(H3/F3)</f>
        <v>6.0323342160058226E-2</v>
      </c>
      <c r="K3" s="20">
        <f t="shared" ref="K3:K9" si="2">J3*180/PI()</f>
        <v>3.4562729118949194</v>
      </c>
      <c r="L3" s="20">
        <f t="shared" ref="L3:L9" si="3">DEGREES(ASIN(H3*SIN(90)/F3))</f>
        <v>3.0951550385125821</v>
      </c>
    </row>
    <row r="4" spans="1:12" x14ac:dyDescent="0.35">
      <c r="A4" s="11" t="s">
        <v>5</v>
      </c>
      <c r="B4" s="11" t="s">
        <v>10</v>
      </c>
      <c r="C4" s="12">
        <v>0.95391899999999996</v>
      </c>
      <c r="D4" s="12">
        <f>C4*10^9</f>
        <v>953919000</v>
      </c>
      <c r="E4" s="14">
        <v>1.563293E-9</v>
      </c>
      <c r="F4" s="13">
        <v>4.7300000000000002E-2</v>
      </c>
      <c r="G4" s="16">
        <v>5</v>
      </c>
      <c r="H4" s="9">
        <f t="shared" si="0"/>
        <v>1.1827155028500668E-4</v>
      </c>
      <c r="I4" s="18">
        <f t="shared" si="1"/>
        <v>0.11827155028500669</v>
      </c>
      <c r="J4" s="22">
        <f t="shared" ref="J4:J9" si="4">ATAN(H4/F4)</f>
        <v>2.5004503974006519E-3</v>
      </c>
      <c r="K4" s="20">
        <f t="shared" si="2"/>
        <v>0.14326525465286682</v>
      </c>
      <c r="L4" s="20">
        <f t="shared" si="3"/>
        <v>0.12807903326573025</v>
      </c>
    </row>
    <row r="5" spans="1:12" x14ac:dyDescent="0.35">
      <c r="A5" s="11" t="s">
        <v>8</v>
      </c>
      <c r="B5" s="11" t="s">
        <v>10</v>
      </c>
      <c r="C5" s="12">
        <v>0.55399039999999999</v>
      </c>
      <c r="D5" s="12">
        <f t="shared" ref="D5:D9" si="5">C5*10^9</f>
        <v>553990400</v>
      </c>
      <c r="E5" s="14">
        <v>5.153518E-11</v>
      </c>
      <c r="F5" s="13">
        <v>4.7300000000000002E-2</v>
      </c>
      <c r="G5" s="16">
        <v>5</v>
      </c>
      <c r="H5" s="9">
        <f t="shared" si="0"/>
        <v>6.1776903443538766E-3</v>
      </c>
      <c r="I5" s="18">
        <f t="shared" si="1"/>
        <v>6.1776903443538762</v>
      </c>
      <c r="J5" s="22">
        <f t="shared" si="4"/>
        <v>0.12987143839653356</v>
      </c>
      <c r="K5" s="20">
        <f t="shared" si="2"/>
        <v>7.4410852994146399</v>
      </c>
      <c r="L5" s="20">
        <f t="shared" si="3"/>
        <v>6.7052551532648472</v>
      </c>
    </row>
    <row r="6" spans="1:12" x14ac:dyDescent="0.35">
      <c r="A6" s="11" t="s">
        <v>5</v>
      </c>
      <c r="B6" s="11" t="s">
        <v>11</v>
      </c>
      <c r="C6" s="12">
        <v>1.1485593999999999</v>
      </c>
      <c r="D6" s="12">
        <f t="shared" si="5"/>
        <v>1148559400</v>
      </c>
      <c r="E6" s="14">
        <v>1.3075669999999999E-9</v>
      </c>
      <c r="F6" s="13">
        <v>4.7300000000000002E-2</v>
      </c>
      <c r="G6" s="16">
        <v>5</v>
      </c>
      <c r="H6" s="9">
        <f t="shared" si="0"/>
        <v>1.1743965314070921E-4</v>
      </c>
      <c r="I6" s="18">
        <f t="shared" si="1"/>
        <v>0.11743965314070921</v>
      </c>
      <c r="J6" s="22">
        <f t="shared" si="4"/>
        <v>2.4828628291220928E-3</v>
      </c>
      <c r="K6" s="20">
        <f t="shared" si="2"/>
        <v>0.14225756121860722</v>
      </c>
      <c r="L6" s="20">
        <f t="shared" si="3"/>
        <v>0.12717815086951023</v>
      </c>
    </row>
    <row r="7" spans="1:12" x14ac:dyDescent="0.35">
      <c r="A7" s="11" t="s">
        <v>8</v>
      </c>
      <c r="B7" s="11" t="s">
        <v>11</v>
      </c>
      <c r="C7" s="12">
        <v>1.2568751</v>
      </c>
      <c r="D7" s="12">
        <f t="shared" si="5"/>
        <v>1256875100</v>
      </c>
      <c r="E7" s="14">
        <v>3.6169219999999998E-11</v>
      </c>
      <c r="F7" s="13">
        <v>4.7300000000000002E-2</v>
      </c>
      <c r="G7" s="16">
        <v>5</v>
      </c>
      <c r="H7" s="9">
        <f t="shared" si="0"/>
        <v>3.8797246680387361E-3</v>
      </c>
      <c r="I7" s="18">
        <f t="shared" si="1"/>
        <v>3.8797246680387363</v>
      </c>
      <c r="J7" s="22">
        <f t="shared" si="4"/>
        <v>8.1840567083910146E-2</v>
      </c>
      <c r="K7" s="20">
        <f t="shared" si="2"/>
        <v>4.6891190868653387</v>
      </c>
      <c r="L7" s="20">
        <f t="shared" si="3"/>
        <v>4.2052156873326849</v>
      </c>
    </row>
    <row r="8" spans="1:12" x14ac:dyDescent="0.35">
      <c r="A8" s="11" t="s">
        <v>5</v>
      </c>
      <c r="B8" s="11" t="s">
        <v>15</v>
      </c>
      <c r="C8" s="12">
        <v>5.5195527999999996</v>
      </c>
      <c r="D8" s="12">
        <f t="shared" si="5"/>
        <v>5519552800</v>
      </c>
      <c r="E8" s="14">
        <v>6.0807429999999998E-10</v>
      </c>
      <c r="F8" s="13">
        <v>4.7300000000000002E-2</v>
      </c>
      <c r="G8" s="16">
        <v>5</v>
      </c>
      <c r="H8" s="9">
        <f t="shared" si="0"/>
        <v>5.2549868203454267E-5</v>
      </c>
      <c r="I8" s="18">
        <f t="shared" si="1"/>
        <v>5.2549868203454267E-2</v>
      </c>
      <c r="J8" s="22">
        <f t="shared" si="4"/>
        <v>1.1109904140103658E-3</v>
      </c>
      <c r="K8" s="20">
        <f t="shared" si="2"/>
        <v>6.3655061802285959E-2</v>
      </c>
      <c r="L8" s="20">
        <f t="shared" si="3"/>
        <v>5.6907445642585618E-2</v>
      </c>
    </row>
    <row r="9" spans="1:12" x14ac:dyDescent="0.35">
      <c r="A9" s="11" t="s">
        <v>8</v>
      </c>
      <c r="B9" s="11" t="s">
        <v>15</v>
      </c>
      <c r="C9" s="12">
        <v>0.1241651</v>
      </c>
      <c r="D9" s="12">
        <f t="shared" si="5"/>
        <v>124165100</v>
      </c>
      <c r="E9" s="14">
        <v>2.7014940000000001E-11</v>
      </c>
      <c r="F9" s="13">
        <v>4.7300000000000002E-2</v>
      </c>
      <c r="G9" s="16">
        <v>5</v>
      </c>
      <c r="H9" s="9">
        <f t="shared" si="0"/>
        <v>5.2580973424151821E-2</v>
      </c>
      <c r="I9" s="18">
        <f t="shared" si="1"/>
        <v>52.580973424151821</v>
      </c>
      <c r="J9" s="22">
        <f t="shared" si="4"/>
        <v>0.83822164379206243</v>
      </c>
      <c r="K9" s="20">
        <f t="shared" si="2"/>
        <v>48.026562485803446</v>
      </c>
      <c r="L9" s="20">
        <f t="shared" si="3"/>
        <v>83.621686092536422</v>
      </c>
    </row>
    <row r="10" spans="1:12" x14ac:dyDescent="0.35">
      <c r="D10" s="12"/>
      <c r="E10" s="13"/>
      <c r="F10" s="13"/>
    </row>
    <row r="11" spans="1:12" x14ac:dyDescent="0.35">
      <c r="D11" s="12"/>
      <c r="E11" s="10"/>
      <c r="F11" s="10"/>
    </row>
    <row r="18" spans="1:5" x14ac:dyDescent="0.35">
      <c r="A18" s="10"/>
      <c r="B18" s="10"/>
      <c r="C18" s="10"/>
      <c r="D18" s="10"/>
      <c r="E18" s="10"/>
    </row>
    <row r="19" spans="1:5" x14ac:dyDescent="0.35">
      <c r="A19" s="11" t="s">
        <v>5</v>
      </c>
      <c r="B19" s="11" t="s">
        <v>6</v>
      </c>
      <c r="C19" s="11" t="s">
        <v>7</v>
      </c>
      <c r="D19" s="14">
        <v>1.4855590000000001E-9</v>
      </c>
      <c r="E19" s="13"/>
    </row>
    <row r="20" spans="1:5" x14ac:dyDescent="0.35">
      <c r="A20" s="11" t="s">
        <v>8</v>
      </c>
      <c r="B20" s="11" t="s">
        <v>6</v>
      </c>
      <c r="C20" s="11" t="s">
        <v>7</v>
      </c>
      <c r="D20" s="14">
        <v>5.7860440000000003E-11</v>
      </c>
      <c r="E20" s="13"/>
    </row>
    <row r="21" spans="1:5" x14ac:dyDescent="0.35">
      <c r="A21" s="11" t="s">
        <v>5</v>
      </c>
      <c r="B21" s="11" t="s">
        <v>6</v>
      </c>
      <c r="C21" s="11" t="s">
        <v>10</v>
      </c>
      <c r="D21" s="14">
        <v>1.563293E-9</v>
      </c>
      <c r="E21" s="13"/>
    </row>
    <row r="22" spans="1:5" x14ac:dyDescent="0.35">
      <c r="A22" s="11" t="s">
        <v>8</v>
      </c>
      <c r="B22" s="11" t="s">
        <v>6</v>
      </c>
      <c r="C22" s="11" t="s">
        <v>10</v>
      </c>
      <c r="D22" s="14">
        <v>5.153518E-11</v>
      </c>
      <c r="E22" s="13"/>
    </row>
    <row r="23" spans="1:5" x14ac:dyDescent="0.35">
      <c r="A23" s="11" t="s">
        <v>5</v>
      </c>
      <c r="B23" s="11" t="s">
        <v>6</v>
      </c>
      <c r="C23" s="11" t="s">
        <v>11</v>
      </c>
      <c r="D23" s="14">
        <v>1.3075669999999999E-9</v>
      </c>
      <c r="E23" s="13"/>
    </row>
    <row r="24" spans="1:5" x14ac:dyDescent="0.35">
      <c r="A24" s="11" t="s">
        <v>8</v>
      </c>
      <c r="B24" s="11" t="s">
        <v>6</v>
      </c>
      <c r="C24" s="11" t="s">
        <v>11</v>
      </c>
      <c r="D24" s="14">
        <v>3.6169219999999998E-11</v>
      </c>
      <c r="E24" s="13"/>
    </row>
    <row r="25" spans="1:5" x14ac:dyDescent="0.35">
      <c r="A25" s="11" t="s">
        <v>5</v>
      </c>
      <c r="B25" s="11" t="s">
        <v>6</v>
      </c>
      <c r="C25" s="11" t="s">
        <v>15</v>
      </c>
      <c r="D25" s="14">
        <v>6.0807429999999998E-10</v>
      </c>
      <c r="E25" s="13"/>
    </row>
    <row r="26" spans="1:5" x14ac:dyDescent="0.35">
      <c r="A26" s="11" t="s">
        <v>8</v>
      </c>
      <c r="B26" s="11" t="s">
        <v>6</v>
      </c>
      <c r="C26" s="11" t="s">
        <v>15</v>
      </c>
      <c r="D26" s="14">
        <v>2.7014940000000001E-11</v>
      </c>
      <c r="E26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3C6E-5D43-4F6D-8F77-6C9CF5AC0C1F}">
  <dimension ref="A1:F22"/>
  <sheetViews>
    <sheetView workbookViewId="0">
      <selection activeCell="I10" sqref="I10"/>
    </sheetView>
  </sheetViews>
  <sheetFormatPr defaultRowHeight="14.5" x14ac:dyDescent="0.35"/>
  <cols>
    <col min="1" max="1" width="11.08984375" customWidth="1"/>
    <col min="2" max="2" width="10.90625" customWidth="1"/>
    <col min="3" max="3" width="20.81640625" customWidth="1"/>
    <col min="4" max="4" width="12.453125" customWidth="1"/>
  </cols>
  <sheetData>
    <row r="1" spans="1:6" x14ac:dyDescent="0.35">
      <c r="A1" s="10" t="s">
        <v>0</v>
      </c>
      <c r="B1" s="10" t="s">
        <v>20</v>
      </c>
      <c r="C1" s="10" t="s">
        <v>19</v>
      </c>
      <c r="D1" s="10" t="s">
        <v>28</v>
      </c>
      <c r="E1" s="10"/>
    </row>
    <row r="2" spans="1:6" x14ac:dyDescent="0.35">
      <c r="A2" s="11" t="s">
        <v>5</v>
      </c>
      <c r="B2" s="11">
        <v>1</v>
      </c>
      <c r="C2" s="12">
        <v>2.0956329879000002</v>
      </c>
      <c r="D2" s="14">
        <v>1.91944E-13</v>
      </c>
      <c r="E2" s="13"/>
    </row>
    <row r="3" spans="1:6" x14ac:dyDescent="0.35">
      <c r="A3" s="11" t="s">
        <v>8</v>
      </c>
      <c r="B3" s="11">
        <v>1</v>
      </c>
      <c r="C3" s="12">
        <v>2.4429559999999999E-4</v>
      </c>
      <c r="D3" s="14">
        <v>8.9488349999999997E-11</v>
      </c>
      <c r="E3" s="13"/>
    </row>
    <row r="4" spans="1:6" x14ac:dyDescent="0.35">
      <c r="A4" s="11" t="s">
        <v>5</v>
      </c>
      <c r="B4" s="11">
        <v>2</v>
      </c>
      <c r="C4" s="12">
        <v>3.9477523228</v>
      </c>
      <c r="D4" s="14">
        <v>1.62625E-13</v>
      </c>
      <c r="E4" s="13"/>
    </row>
    <row r="5" spans="1:6" x14ac:dyDescent="0.35">
      <c r="A5" s="11" t="s">
        <v>8</v>
      </c>
      <c r="B5" s="11">
        <v>2</v>
      </c>
      <c r="C5" s="12">
        <v>2.1053759999999999E-4</v>
      </c>
      <c r="D5" s="14">
        <v>1.030704E-10</v>
      </c>
      <c r="E5" s="13"/>
    </row>
    <row r="6" spans="1:6" x14ac:dyDescent="0.35">
      <c r="A6" s="11" t="s">
        <v>5</v>
      </c>
      <c r="B6" s="11">
        <v>3</v>
      </c>
      <c r="C6" s="12">
        <v>4.3431707445000001</v>
      </c>
      <c r="D6" s="14">
        <v>7.5647030000000003E-14</v>
      </c>
      <c r="E6" s="13"/>
    </row>
    <row r="7" spans="1:6" x14ac:dyDescent="0.35">
      <c r="A7" s="11" t="s">
        <v>8</v>
      </c>
      <c r="B7" s="11">
        <v>3</v>
      </c>
      <c r="C7" s="12">
        <v>2.4970750000000001E-4</v>
      </c>
      <c r="D7" s="14">
        <v>7.2338439999999997E-11</v>
      </c>
      <c r="E7" s="13"/>
    </row>
    <row r="8" spans="1:6" x14ac:dyDescent="0.35">
      <c r="A8" s="11" t="s">
        <v>5</v>
      </c>
      <c r="B8" s="11">
        <v>4</v>
      </c>
      <c r="C8" s="12">
        <v>5.7433874435999996</v>
      </c>
      <c r="D8" s="14">
        <v>3.5736889999999999E-14</v>
      </c>
      <c r="E8" s="13"/>
    </row>
    <row r="9" spans="1:6" x14ac:dyDescent="0.35">
      <c r="A9" s="11" t="s">
        <v>8</v>
      </c>
      <c r="B9" s="11">
        <v>4</v>
      </c>
      <c r="C9" s="12">
        <v>3.0005979999999998E-4</v>
      </c>
      <c r="D9" s="14">
        <v>5.5076919999999998E-11</v>
      </c>
      <c r="E9" s="10"/>
    </row>
    <row r="14" spans="1:6" x14ac:dyDescent="0.35">
      <c r="B14" s="10"/>
      <c r="C14" s="10"/>
      <c r="D14" s="10"/>
      <c r="E14" s="10"/>
      <c r="F14" s="10"/>
    </row>
    <row r="15" spans="1:6" x14ac:dyDescent="0.35">
      <c r="B15" s="11" t="s">
        <v>5</v>
      </c>
      <c r="C15" s="11">
        <v>1</v>
      </c>
      <c r="E15" s="13"/>
      <c r="F15" s="13"/>
    </row>
    <row r="16" spans="1:6" x14ac:dyDescent="0.35">
      <c r="B16" s="11" t="s">
        <v>8</v>
      </c>
      <c r="C16" s="11">
        <v>1</v>
      </c>
      <c r="E16" s="13"/>
      <c r="F16" s="13"/>
    </row>
    <row r="17" spans="2:6" x14ac:dyDescent="0.35">
      <c r="B17" s="11" t="s">
        <v>5</v>
      </c>
      <c r="C17" s="11">
        <v>2</v>
      </c>
      <c r="E17" s="13"/>
      <c r="F17" s="13"/>
    </row>
    <row r="18" spans="2:6" x14ac:dyDescent="0.35">
      <c r="B18" s="11" t="s">
        <v>8</v>
      </c>
      <c r="C18" s="11">
        <v>2</v>
      </c>
      <c r="E18" s="13"/>
      <c r="F18" s="13"/>
    </row>
    <row r="19" spans="2:6" x14ac:dyDescent="0.35">
      <c r="B19" s="11" t="s">
        <v>5</v>
      </c>
      <c r="C19" s="11">
        <v>3</v>
      </c>
      <c r="E19" s="13"/>
      <c r="F19" s="13"/>
    </row>
    <row r="20" spans="2:6" x14ac:dyDescent="0.35">
      <c r="B20" s="11" t="s">
        <v>8</v>
      </c>
      <c r="C20" s="11">
        <v>3</v>
      </c>
      <c r="E20" s="13"/>
      <c r="F20" s="13"/>
    </row>
    <row r="21" spans="2:6" x14ac:dyDescent="0.35">
      <c r="B21" s="11" t="s">
        <v>5</v>
      </c>
      <c r="C21" s="11">
        <v>4</v>
      </c>
      <c r="E21" s="13"/>
      <c r="F21" s="13"/>
    </row>
    <row r="22" spans="2:6" x14ac:dyDescent="0.35">
      <c r="B22" s="11" t="s">
        <v>8</v>
      </c>
      <c r="C22" s="11">
        <v>4</v>
      </c>
      <c r="E22" s="10"/>
      <c r="F2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</vt:lpstr>
      <vt:lpstr>LateralBend</vt:lpstr>
      <vt:lpstr>DVBend</vt:lpstr>
      <vt:lpstr>Torsion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Korneisel</dc:creator>
  <cp:lastModifiedBy>Cassandra Donatelli</cp:lastModifiedBy>
  <dcterms:created xsi:type="dcterms:W3CDTF">2024-02-27T00:06:11Z</dcterms:created>
  <dcterms:modified xsi:type="dcterms:W3CDTF">2024-03-07T02:01:20Z</dcterms:modified>
</cp:coreProperties>
</file>