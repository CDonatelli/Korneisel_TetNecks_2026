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Research\00. FishLab\04. Project Folders\Cassandra\LargeSturgeonData\"/>
    </mc:Choice>
  </mc:AlternateContent>
  <xr:revisionPtr revIDLastSave="0" documentId="13_ncr:1_{CA0A69E6-81B3-48A0-9315-02C187A7D894}" xr6:coauthVersionLast="47" xr6:coauthVersionMax="47" xr10:uidLastSave="{00000000-0000-0000-0000-000000000000}"/>
  <bookViews>
    <workbookView xWindow="-120" yWindow="-120" windowWidth="29040" windowHeight="15720" activeTab="3" xr2:uid="{97AB5606-E8DA-4392-939E-D53AF265FD64}"/>
  </bookViews>
  <sheets>
    <sheet name="PotentialTaxa" sheetId="1" r:id="rId1"/>
    <sheet name="Measurements" sheetId="2" r:id="rId2"/>
    <sheet name="Math" sheetId="3" r:id="rId3"/>
    <sheet name="for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5" i="4" l="1"/>
  <c r="U25" i="4"/>
  <c r="Q25" i="4"/>
  <c r="S25" i="4" s="1"/>
  <c r="P25" i="4"/>
  <c r="R25" i="4" s="1"/>
  <c r="J25" i="4"/>
  <c r="I25" i="4"/>
  <c r="H25" i="4"/>
  <c r="E25" i="4"/>
  <c r="U24" i="4"/>
  <c r="V24" i="4" s="1"/>
  <c r="Q24" i="4"/>
  <c r="S24" i="4" s="1"/>
  <c r="P24" i="4"/>
  <c r="R24" i="4" s="1"/>
  <c r="J24" i="4"/>
  <c r="I24" i="4"/>
  <c r="H24" i="4"/>
  <c r="E24" i="4"/>
  <c r="U23" i="4"/>
  <c r="V23" i="4" s="1"/>
  <c r="Q23" i="4"/>
  <c r="S23" i="4" s="1"/>
  <c r="P23" i="4"/>
  <c r="R23" i="4" s="1"/>
  <c r="J23" i="4"/>
  <c r="I23" i="4"/>
  <c r="H23" i="4"/>
  <c r="E23" i="4"/>
  <c r="U22" i="4"/>
  <c r="V22" i="4" s="1"/>
  <c r="Q22" i="4"/>
  <c r="S22" i="4" s="1"/>
  <c r="P22" i="4"/>
  <c r="R22" i="4" s="1"/>
  <c r="J22" i="4"/>
  <c r="I22" i="4"/>
  <c r="H22" i="4"/>
  <c r="E22" i="4"/>
  <c r="U21" i="4"/>
  <c r="V21" i="4" s="1"/>
  <c r="Q21" i="4"/>
  <c r="S21" i="4" s="1"/>
  <c r="P21" i="4"/>
  <c r="R21" i="4" s="1"/>
  <c r="J21" i="4"/>
  <c r="I21" i="4"/>
  <c r="H21" i="4"/>
  <c r="E21" i="4"/>
  <c r="U20" i="4"/>
  <c r="V20" i="4" s="1"/>
  <c r="S20" i="4"/>
  <c r="R20" i="4"/>
  <c r="J20" i="4"/>
  <c r="I20" i="4"/>
  <c r="H20" i="4"/>
  <c r="U7" i="4"/>
  <c r="V7" i="4" s="1"/>
  <c r="Q7" i="4"/>
  <c r="S7" i="4" s="1"/>
  <c r="P7" i="4"/>
  <c r="R7" i="4" s="1"/>
  <c r="J7" i="4"/>
  <c r="I7" i="4"/>
  <c r="H7" i="4"/>
  <c r="E7" i="4"/>
  <c r="U6" i="4"/>
  <c r="V6" i="4" s="1"/>
  <c r="Q6" i="4"/>
  <c r="S6" i="4" s="1"/>
  <c r="P6" i="4"/>
  <c r="R6" i="4" s="1"/>
  <c r="J6" i="4"/>
  <c r="I6" i="4"/>
  <c r="H6" i="4"/>
  <c r="E6" i="4"/>
  <c r="U5" i="4"/>
  <c r="V5" i="4" s="1"/>
  <c r="Q5" i="4"/>
  <c r="S5" i="4" s="1"/>
  <c r="P5" i="4"/>
  <c r="R5" i="4" s="1"/>
  <c r="J5" i="4"/>
  <c r="I5" i="4"/>
  <c r="H5" i="4"/>
  <c r="E5" i="4"/>
  <c r="U4" i="4"/>
  <c r="V4" i="4" s="1"/>
  <c r="Q4" i="4"/>
  <c r="S4" i="4" s="1"/>
  <c r="P4" i="4"/>
  <c r="R4" i="4" s="1"/>
  <c r="J4" i="4"/>
  <c r="I4" i="4"/>
  <c r="H4" i="4"/>
  <c r="E4" i="4"/>
  <c r="U3" i="4"/>
  <c r="V3" i="4" s="1"/>
  <c r="Q3" i="4"/>
  <c r="S3" i="4" s="1"/>
  <c r="P3" i="4"/>
  <c r="R3" i="4" s="1"/>
  <c r="J3" i="4"/>
  <c r="I3" i="4"/>
  <c r="H3" i="4"/>
  <c r="E3" i="4"/>
  <c r="U2" i="4"/>
  <c r="V2" i="4" s="1"/>
  <c r="S2" i="4"/>
  <c r="R2" i="4"/>
  <c r="J2" i="4"/>
  <c r="I2" i="4"/>
  <c r="H2" i="4"/>
  <c r="U13" i="4"/>
  <c r="V13" i="4" s="1"/>
  <c r="Q13" i="4"/>
  <c r="S13" i="4" s="1"/>
  <c r="P13" i="4"/>
  <c r="R13" i="4" s="1"/>
  <c r="J13" i="4"/>
  <c r="I13" i="4"/>
  <c r="H13" i="4"/>
  <c r="E13" i="4"/>
  <c r="U12" i="4"/>
  <c r="V12" i="4" s="1"/>
  <c r="Q12" i="4"/>
  <c r="S12" i="4" s="1"/>
  <c r="P12" i="4"/>
  <c r="R12" i="4" s="1"/>
  <c r="J12" i="4"/>
  <c r="I12" i="4"/>
  <c r="H12" i="4"/>
  <c r="E12" i="4"/>
  <c r="U11" i="4"/>
  <c r="V11" i="4" s="1"/>
  <c r="Q11" i="4"/>
  <c r="S11" i="4" s="1"/>
  <c r="P11" i="4"/>
  <c r="R11" i="4" s="1"/>
  <c r="J11" i="4"/>
  <c r="I11" i="4"/>
  <c r="H11" i="4"/>
  <c r="E11" i="4"/>
  <c r="U10" i="4"/>
  <c r="V10" i="4" s="1"/>
  <c r="Q10" i="4"/>
  <c r="S10" i="4" s="1"/>
  <c r="P10" i="4"/>
  <c r="R10" i="4" s="1"/>
  <c r="J10" i="4"/>
  <c r="I10" i="4"/>
  <c r="H10" i="4"/>
  <c r="E10" i="4"/>
  <c r="U9" i="4"/>
  <c r="V9" i="4" s="1"/>
  <c r="Q9" i="4"/>
  <c r="S9" i="4" s="1"/>
  <c r="P9" i="4"/>
  <c r="R9" i="4" s="1"/>
  <c r="J9" i="4"/>
  <c r="I9" i="4"/>
  <c r="H9" i="4"/>
  <c r="E9" i="4"/>
  <c r="U8" i="4"/>
  <c r="V8" i="4" s="1"/>
  <c r="S8" i="4"/>
  <c r="R8" i="4"/>
  <c r="J8" i="4"/>
  <c r="I8" i="4"/>
  <c r="H8" i="4"/>
  <c r="O11" i="3"/>
  <c r="N27" i="3"/>
  <c r="M20" i="3"/>
  <c r="N20" i="3" s="1"/>
  <c r="N21" i="3"/>
  <c r="M43" i="3"/>
  <c r="N35" i="3"/>
  <c r="V16" i="4"/>
  <c r="V17" i="4"/>
  <c r="V18" i="4"/>
  <c r="V19" i="4"/>
  <c r="V26" i="4"/>
  <c r="V40" i="4"/>
  <c r="V41" i="4"/>
  <c r="V42" i="4"/>
  <c r="V43" i="4"/>
  <c r="V52" i="4"/>
  <c r="U15" i="4"/>
  <c r="V15" i="4" s="1"/>
  <c r="U16" i="4"/>
  <c r="U17" i="4"/>
  <c r="U18" i="4"/>
  <c r="U19" i="4"/>
  <c r="U26" i="4"/>
  <c r="U27" i="4"/>
  <c r="V27" i="4" s="1"/>
  <c r="U28" i="4"/>
  <c r="V28" i="4" s="1"/>
  <c r="U29" i="4"/>
  <c r="V29" i="4" s="1"/>
  <c r="U30" i="4"/>
  <c r="V30" i="4" s="1"/>
  <c r="U31" i="4"/>
  <c r="V31" i="4" s="1"/>
  <c r="U32" i="4"/>
  <c r="V32" i="4" s="1"/>
  <c r="U33" i="4"/>
  <c r="V33" i="4" s="1"/>
  <c r="U34" i="4"/>
  <c r="V34" i="4" s="1"/>
  <c r="U35" i="4"/>
  <c r="V35" i="4" s="1"/>
  <c r="U36" i="4"/>
  <c r="V36" i="4" s="1"/>
  <c r="U37" i="4"/>
  <c r="V37" i="4" s="1"/>
  <c r="U38" i="4"/>
  <c r="V38" i="4" s="1"/>
  <c r="U39" i="4"/>
  <c r="V39" i="4" s="1"/>
  <c r="U40" i="4"/>
  <c r="U41" i="4"/>
  <c r="U42" i="4"/>
  <c r="U43" i="4"/>
  <c r="U44" i="4"/>
  <c r="V44" i="4" s="1"/>
  <c r="U45" i="4"/>
  <c r="V45" i="4" s="1"/>
  <c r="U46" i="4"/>
  <c r="V46" i="4" s="1"/>
  <c r="U47" i="4"/>
  <c r="V47" i="4" s="1"/>
  <c r="U48" i="4"/>
  <c r="V48" i="4" s="1"/>
  <c r="U49" i="4"/>
  <c r="V49" i="4" s="1"/>
  <c r="U50" i="4"/>
  <c r="V50" i="4" s="1"/>
  <c r="U51" i="4"/>
  <c r="V51" i="4" s="1"/>
  <c r="U52" i="4"/>
  <c r="U53" i="4"/>
  <c r="V53" i="4" s="1"/>
  <c r="U54" i="4"/>
  <c r="V54" i="4" s="1"/>
  <c r="U55" i="4"/>
  <c r="V55" i="4" s="1"/>
  <c r="U14" i="4"/>
  <c r="V14" i="4" s="1"/>
  <c r="Q55" i="4"/>
  <c r="S55" i="4" s="1"/>
  <c r="P55" i="4"/>
  <c r="R55" i="4" s="1"/>
  <c r="J55" i="4"/>
  <c r="I55" i="4"/>
  <c r="H55" i="4"/>
  <c r="E55" i="4"/>
  <c r="Q54" i="4"/>
  <c r="S54" i="4" s="1"/>
  <c r="P54" i="4"/>
  <c r="R54" i="4" s="1"/>
  <c r="J54" i="4"/>
  <c r="I54" i="4"/>
  <c r="H54" i="4"/>
  <c r="E54" i="4"/>
  <c r="Q53" i="4"/>
  <c r="S53" i="4" s="1"/>
  <c r="P53" i="4"/>
  <c r="R53" i="4" s="1"/>
  <c r="J53" i="4"/>
  <c r="I53" i="4"/>
  <c r="H53" i="4"/>
  <c r="E53" i="4"/>
  <c r="Q52" i="4"/>
  <c r="S52" i="4" s="1"/>
  <c r="P52" i="4"/>
  <c r="R52" i="4" s="1"/>
  <c r="J52" i="4"/>
  <c r="I52" i="4"/>
  <c r="H52" i="4"/>
  <c r="E52" i="4"/>
  <c r="Q51" i="4"/>
  <c r="S51" i="4" s="1"/>
  <c r="P51" i="4"/>
  <c r="R51" i="4" s="1"/>
  <c r="J51" i="4"/>
  <c r="I51" i="4"/>
  <c r="H51" i="4"/>
  <c r="E51" i="4"/>
  <c r="S50" i="4"/>
  <c r="R50" i="4"/>
  <c r="J50" i="4"/>
  <c r="I50" i="4"/>
  <c r="H50" i="4"/>
  <c r="Q49" i="4"/>
  <c r="S49" i="4" s="1"/>
  <c r="P49" i="4"/>
  <c r="R49" i="4" s="1"/>
  <c r="J49" i="4"/>
  <c r="I49" i="4"/>
  <c r="H49" i="4"/>
  <c r="E49" i="4"/>
  <c r="Q48" i="4"/>
  <c r="S48" i="4" s="1"/>
  <c r="P48" i="4"/>
  <c r="R48" i="4" s="1"/>
  <c r="J48" i="4"/>
  <c r="I48" i="4"/>
  <c r="H48" i="4"/>
  <c r="E48" i="4"/>
  <c r="Q47" i="4"/>
  <c r="S47" i="4" s="1"/>
  <c r="P47" i="4"/>
  <c r="R47" i="4" s="1"/>
  <c r="J47" i="4"/>
  <c r="I47" i="4"/>
  <c r="H47" i="4"/>
  <c r="E47" i="4"/>
  <c r="Q46" i="4"/>
  <c r="S46" i="4" s="1"/>
  <c r="P46" i="4"/>
  <c r="R46" i="4" s="1"/>
  <c r="J46" i="4"/>
  <c r="I46" i="4"/>
  <c r="H46" i="4"/>
  <c r="E46" i="4"/>
  <c r="Q45" i="4"/>
  <c r="S45" i="4" s="1"/>
  <c r="P45" i="4"/>
  <c r="R45" i="4" s="1"/>
  <c r="J45" i="4"/>
  <c r="I45" i="4"/>
  <c r="H45" i="4"/>
  <c r="E45" i="4"/>
  <c r="S44" i="4"/>
  <c r="R44" i="4"/>
  <c r="J44" i="4"/>
  <c r="I44" i="4"/>
  <c r="H44" i="4"/>
  <c r="Q43" i="4"/>
  <c r="S43" i="4" s="1"/>
  <c r="P43" i="4"/>
  <c r="R43" i="4" s="1"/>
  <c r="J43" i="4"/>
  <c r="I43" i="4"/>
  <c r="H43" i="4"/>
  <c r="E43" i="4"/>
  <c r="Q42" i="4"/>
  <c r="S42" i="4" s="1"/>
  <c r="P42" i="4"/>
  <c r="R42" i="4" s="1"/>
  <c r="J42" i="4"/>
  <c r="I42" i="4"/>
  <c r="H42" i="4"/>
  <c r="E42" i="4"/>
  <c r="Q41" i="4"/>
  <c r="S41" i="4" s="1"/>
  <c r="P41" i="4"/>
  <c r="R41" i="4" s="1"/>
  <c r="J41" i="4"/>
  <c r="I41" i="4"/>
  <c r="H41" i="4"/>
  <c r="E41" i="4"/>
  <c r="Q40" i="4"/>
  <c r="S40" i="4" s="1"/>
  <c r="P40" i="4"/>
  <c r="R40" i="4" s="1"/>
  <c r="J40" i="4"/>
  <c r="I40" i="4"/>
  <c r="H40" i="4"/>
  <c r="E40" i="4"/>
  <c r="Q39" i="4"/>
  <c r="S39" i="4" s="1"/>
  <c r="P39" i="4"/>
  <c r="R39" i="4" s="1"/>
  <c r="J39" i="4"/>
  <c r="I39" i="4"/>
  <c r="H39" i="4"/>
  <c r="E39" i="4"/>
  <c r="S38" i="4"/>
  <c r="R38" i="4"/>
  <c r="J38" i="4"/>
  <c r="I38" i="4"/>
  <c r="H38" i="4"/>
  <c r="Q37" i="4"/>
  <c r="S37" i="4" s="1"/>
  <c r="P37" i="4"/>
  <c r="R37" i="4" s="1"/>
  <c r="J37" i="4"/>
  <c r="I37" i="4"/>
  <c r="H37" i="4"/>
  <c r="E37" i="4"/>
  <c r="Q36" i="4"/>
  <c r="S36" i="4" s="1"/>
  <c r="P36" i="4"/>
  <c r="R36" i="4" s="1"/>
  <c r="J36" i="4"/>
  <c r="I36" i="4"/>
  <c r="H36" i="4"/>
  <c r="E36" i="4"/>
  <c r="Q35" i="4"/>
  <c r="S35" i="4" s="1"/>
  <c r="P35" i="4"/>
  <c r="R35" i="4" s="1"/>
  <c r="J35" i="4"/>
  <c r="I35" i="4"/>
  <c r="H35" i="4"/>
  <c r="E35" i="4"/>
  <c r="Q34" i="4"/>
  <c r="S34" i="4" s="1"/>
  <c r="P34" i="4"/>
  <c r="R34" i="4" s="1"/>
  <c r="J34" i="4"/>
  <c r="I34" i="4"/>
  <c r="H34" i="4"/>
  <c r="E34" i="4"/>
  <c r="Q33" i="4"/>
  <c r="S33" i="4" s="1"/>
  <c r="P33" i="4"/>
  <c r="R33" i="4" s="1"/>
  <c r="J33" i="4"/>
  <c r="I33" i="4"/>
  <c r="H33" i="4"/>
  <c r="E33" i="4"/>
  <c r="S32" i="4"/>
  <c r="R32" i="4"/>
  <c r="J32" i="4"/>
  <c r="I32" i="4"/>
  <c r="H32" i="4"/>
  <c r="Q31" i="4"/>
  <c r="S31" i="4" s="1"/>
  <c r="P31" i="4"/>
  <c r="R31" i="4" s="1"/>
  <c r="J31" i="4"/>
  <c r="I31" i="4"/>
  <c r="H31" i="4"/>
  <c r="E31" i="4"/>
  <c r="Q30" i="4"/>
  <c r="S30" i="4" s="1"/>
  <c r="P30" i="4"/>
  <c r="R30" i="4" s="1"/>
  <c r="J30" i="4"/>
  <c r="I30" i="4"/>
  <c r="H30" i="4"/>
  <c r="E30" i="4"/>
  <c r="Q29" i="4"/>
  <c r="S29" i="4" s="1"/>
  <c r="P29" i="4"/>
  <c r="R29" i="4" s="1"/>
  <c r="J29" i="4"/>
  <c r="I29" i="4"/>
  <c r="H29" i="4"/>
  <c r="E29" i="4"/>
  <c r="Q28" i="4"/>
  <c r="S28" i="4" s="1"/>
  <c r="P28" i="4"/>
  <c r="R28" i="4" s="1"/>
  <c r="J28" i="4"/>
  <c r="I28" i="4"/>
  <c r="H28" i="4"/>
  <c r="E28" i="4"/>
  <c r="Q27" i="4"/>
  <c r="S27" i="4" s="1"/>
  <c r="P27" i="4"/>
  <c r="R27" i="4" s="1"/>
  <c r="J27" i="4"/>
  <c r="I27" i="4"/>
  <c r="H27" i="4"/>
  <c r="E27" i="4"/>
  <c r="S26" i="4"/>
  <c r="R26" i="4"/>
  <c r="J26" i="4"/>
  <c r="I26" i="4"/>
  <c r="H26" i="4"/>
  <c r="Q19" i="4"/>
  <c r="S19" i="4" s="1"/>
  <c r="P19" i="4"/>
  <c r="R19" i="4" s="1"/>
  <c r="J19" i="4"/>
  <c r="I19" i="4"/>
  <c r="H19" i="4"/>
  <c r="E19" i="4"/>
  <c r="Q18" i="4"/>
  <c r="S18" i="4" s="1"/>
  <c r="P18" i="4"/>
  <c r="R18" i="4" s="1"/>
  <c r="J18" i="4"/>
  <c r="I18" i="4"/>
  <c r="H18" i="4"/>
  <c r="E18" i="4"/>
  <c r="Q17" i="4"/>
  <c r="S17" i="4" s="1"/>
  <c r="P17" i="4"/>
  <c r="R17" i="4" s="1"/>
  <c r="J17" i="4"/>
  <c r="I17" i="4"/>
  <c r="H17" i="4"/>
  <c r="E17" i="4"/>
  <c r="Q16" i="4"/>
  <c r="S16" i="4" s="1"/>
  <c r="P16" i="4"/>
  <c r="R16" i="4" s="1"/>
  <c r="J16" i="4"/>
  <c r="I16" i="4"/>
  <c r="H16" i="4"/>
  <c r="E16" i="4"/>
  <c r="Q15" i="4"/>
  <c r="S15" i="4" s="1"/>
  <c r="P15" i="4"/>
  <c r="R15" i="4" s="1"/>
  <c r="J15" i="4"/>
  <c r="I15" i="4"/>
  <c r="H15" i="4"/>
  <c r="E15" i="4"/>
  <c r="S14" i="4"/>
  <c r="R14" i="4"/>
  <c r="J14" i="4"/>
  <c r="I14" i="4"/>
  <c r="H14" i="4"/>
  <c r="H46" i="3"/>
  <c r="H40" i="3"/>
  <c r="H36" i="3"/>
  <c r="N36" i="3" s="1"/>
  <c r="N29" i="3"/>
  <c r="D15" i="2"/>
  <c r="E15" i="2" s="1"/>
  <c r="L2" i="2"/>
  <c r="K2" i="2"/>
  <c r="J2" i="2"/>
  <c r="J51" i="3"/>
  <c r="J2" i="3"/>
  <c r="I2" i="3"/>
  <c r="H2" i="3"/>
  <c r="L51" i="3"/>
  <c r="J52" i="3"/>
  <c r="L11" i="3"/>
  <c r="M11" i="3" s="1"/>
  <c r="L19" i="3"/>
  <c r="M19" i="3" s="1"/>
  <c r="L27" i="3"/>
  <c r="L43" i="3"/>
  <c r="H43" i="3"/>
  <c r="M36" i="3"/>
  <c r="L35" i="3"/>
  <c r="M35" i="3" s="1"/>
  <c r="H35" i="3"/>
  <c r="E36" i="3"/>
  <c r="L36" i="3"/>
  <c r="D16" i="2"/>
  <c r="E16" i="2" s="1"/>
  <c r="D17" i="2"/>
  <c r="E17" i="2" s="1"/>
  <c r="D18" i="2"/>
  <c r="E18" i="2" s="1"/>
  <c r="D19" i="2"/>
  <c r="E19" i="2" s="1"/>
  <c r="D20" i="2"/>
  <c r="E20" i="2" s="1"/>
  <c r="N11" i="3" l="1"/>
  <c r="P11" i="3" s="1"/>
  <c r="N51" i="3"/>
  <c r="P51" i="3" s="1"/>
  <c r="N43" i="3"/>
  <c r="P43" i="3" s="1"/>
  <c r="P27" i="3"/>
  <c r="N19" i="3"/>
  <c r="P19" i="3" s="1"/>
  <c r="O51" i="3"/>
  <c r="O27" i="3"/>
  <c r="O36" i="3"/>
  <c r="L12" i="3"/>
  <c r="M12" i="3" s="1"/>
  <c r="N12" i="3" s="1"/>
  <c r="O43" i="3" l="1"/>
  <c r="O19" i="3"/>
  <c r="P35" i="3"/>
  <c r="O35" i="3"/>
  <c r="P36" i="3"/>
  <c r="E52" i="3"/>
  <c r="E44" i="3"/>
  <c r="H44" i="3" s="1"/>
  <c r="E3" i="3"/>
  <c r="E56" i="3"/>
  <c r="J56" i="3" s="1"/>
  <c r="E55" i="3"/>
  <c r="E54" i="3"/>
  <c r="J54" i="3" s="1"/>
  <c r="E53" i="3"/>
  <c r="J53" i="3" s="1"/>
  <c r="J55" i="3"/>
  <c r="J7" i="3"/>
  <c r="J3" i="3"/>
  <c r="I7" i="3"/>
  <c r="H7" i="3"/>
  <c r="J7" i="2"/>
  <c r="I3" i="3"/>
  <c r="K3" i="2"/>
  <c r="E4" i="3"/>
  <c r="H3" i="3"/>
  <c r="L7" i="2"/>
  <c r="L3" i="2" l="1"/>
  <c r="J3" i="2"/>
  <c r="J5" i="3"/>
  <c r="J6" i="3"/>
  <c r="J4" i="3"/>
  <c r="I5" i="3"/>
  <c r="I6" i="3"/>
  <c r="I4" i="3"/>
  <c r="H5" i="3"/>
  <c r="H6" i="3"/>
  <c r="H4" i="3"/>
  <c r="J4" i="2" l="1"/>
  <c r="E48" i="3"/>
  <c r="H48" i="3" s="1"/>
  <c r="E47" i="3"/>
  <c r="H47" i="3" s="1"/>
  <c r="E46" i="3"/>
  <c r="E45" i="3"/>
  <c r="H45" i="3" s="1"/>
  <c r="E40" i="3"/>
  <c r="E39" i="3"/>
  <c r="H39" i="3" s="1"/>
  <c r="E38" i="3"/>
  <c r="H38" i="3" s="1"/>
  <c r="E37" i="3"/>
  <c r="H37" i="3" s="1"/>
  <c r="L56" i="3"/>
  <c r="N56" i="3" s="1"/>
  <c r="L55" i="3"/>
  <c r="N55" i="3" s="1"/>
  <c r="L54" i="3"/>
  <c r="N54" i="3" s="1"/>
  <c r="L53" i="3"/>
  <c r="N53" i="3" s="1"/>
  <c r="L52" i="3"/>
  <c r="N52" i="3" s="1"/>
  <c r="L48" i="3"/>
  <c r="M48" i="3" s="1"/>
  <c r="L47" i="3"/>
  <c r="M47" i="3" s="1"/>
  <c r="L46" i="3"/>
  <c r="M46" i="3" s="1"/>
  <c r="L45" i="3"/>
  <c r="M45" i="3" s="1"/>
  <c r="L44" i="3"/>
  <c r="M44" i="3" s="1"/>
  <c r="N44" i="3" s="1"/>
  <c r="L40" i="3"/>
  <c r="M40" i="3" s="1"/>
  <c r="L39" i="3"/>
  <c r="M39" i="3" s="1"/>
  <c r="L38" i="3"/>
  <c r="M38" i="3" s="1"/>
  <c r="N38" i="3" s="1"/>
  <c r="L37" i="3"/>
  <c r="M37" i="3" s="1"/>
  <c r="L24" i="3"/>
  <c r="M24" i="3" s="1"/>
  <c r="N24" i="3" s="1"/>
  <c r="L23" i="3"/>
  <c r="M23" i="3" s="1"/>
  <c r="N23" i="3" s="1"/>
  <c r="L22" i="3"/>
  <c r="M22" i="3" s="1"/>
  <c r="N22" i="3" s="1"/>
  <c r="L21" i="3"/>
  <c r="M21" i="3" s="1"/>
  <c r="L20" i="3"/>
  <c r="L29" i="3"/>
  <c r="L30" i="3"/>
  <c r="N30" i="3" s="1"/>
  <c r="L31" i="3"/>
  <c r="L32" i="3"/>
  <c r="N32" i="3" s="1"/>
  <c r="L28" i="3"/>
  <c r="N28" i="3" s="1"/>
  <c r="L16" i="3"/>
  <c r="M16" i="3" s="1"/>
  <c r="L15" i="3"/>
  <c r="M15" i="3" s="1"/>
  <c r="N15" i="3" s="1"/>
  <c r="L14" i="3"/>
  <c r="M14" i="3" s="1"/>
  <c r="N14" i="3" s="1"/>
  <c r="L13" i="3"/>
  <c r="M13" i="3" s="1"/>
  <c r="N13" i="3" s="1"/>
  <c r="E7" i="3"/>
  <c r="E6" i="3"/>
  <c r="E5" i="3"/>
  <c r="N31" i="3"/>
  <c r="K7" i="2"/>
  <c r="L5" i="2"/>
  <c r="L6" i="2"/>
  <c r="L8" i="2"/>
  <c r="L9" i="2"/>
  <c r="L4" i="2"/>
  <c r="K5" i="2"/>
  <c r="K6" i="2"/>
  <c r="K8" i="2"/>
  <c r="K9" i="2"/>
  <c r="K4" i="2"/>
  <c r="J5" i="2"/>
  <c r="J6" i="2"/>
  <c r="J8" i="2"/>
  <c r="J9" i="2"/>
  <c r="N37" i="3" l="1"/>
  <c r="N39" i="3"/>
  <c r="P39" i="3" s="1"/>
  <c r="N46" i="3"/>
  <c r="P46" i="3" s="1"/>
  <c r="O29" i="3"/>
  <c r="P29" i="3"/>
  <c r="P38" i="3"/>
  <c r="O38" i="3"/>
  <c r="P28" i="3"/>
  <c r="O28" i="3"/>
  <c r="O32" i="3"/>
  <c r="P32" i="3"/>
  <c r="N40" i="3"/>
  <c r="P40" i="3" s="1"/>
  <c r="N45" i="3"/>
  <c r="P45" i="3" s="1"/>
  <c r="P30" i="3"/>
  <c r="O30" i="3"/>
  <c r="N47" i="3"/>
  <c r="O47" i="3" s="1"/>
  <c r="O31" i="3"/>
  <c r="P31" i="3"/>
  <c r="N48" i="3"/>
  <c r="P48" i="3" s="1"/>
  <c r="P56" i="3"/>
  <c r="O56" i="3"/>
  <c r="O55" i="3"/>
  <c r="P55" i="3"/>
  <c r="O54" i="3"/>
  <c r="P54" i="3"/>
  <c r="P53" i="3"/>
  <c r="O53" i="3"/>
  <c r="P52" i="3"/>
  <c r="O52" i="3"/>
  <c r="O44" i="3"/>
  <c r="P44" i="3"/>
  <c r="O39" i="3"/>
  <c r="O46" i="3"/>
  <c r="O37" i="3"/>
  <c r="P37" i="3"/>
  <c r="P21" i="3"/>
  <c r="O21" i="3"/>
  <c r="O13" i="3"/>
  <c r="P13" i="3"/>
  <c r="P23" i="3"/>
  <c r="O23" i="3"/>
  <c r="O22" i="3"/>
  <c r="P22" i="3"/>
  <c r="P14" i="3"/>
  <c r="O14" i="3"/>
  <c r="P15" i="3"/>
  <c r="O15" i="3"/>
  <c r="P24" i="3"/>
  <c r="O24" i="3"/>
  <c r="N16" i="3"/>
  <c r="O45" i="3" l="1"/>
  <c r="O40" i="3"/>
  <c r="P47" i="3"/>
  <c r="O48" i="3"/>
  <c r="P16" i="3"/>
  <c r="O16" i="3"/>
  <c r="P12" i="3"/>
  <c r="O12" i="3"/>
  <c r="P20" i="3"/>
  <c r="O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tc={6871F4A5-C072-4670-BF83-85EA8D82AE89}</author>
    <author>tc={A91C2237-EBAA-47B2-9E75-B37D1EF5B8AB}</author>
    <author>Dana Korneisel</author>
  </authors>
  <commentList>
    <comment ref="J7" authorId="0" shapeId="0" xr:uid="{6871F4A5-C072-4670-BF83-85EA8D82AE89}">
      <text>
        <t>[Threaded comment]
Your version of Excel allows you to read this threaded comment; however, any edits to it will get removed if the file is opened in a newer version of Excel. Learn more: https://go.microsoft.com/fwlink/?linkid=870924
Comment:
    I = bh^3 / 3 
Base is perpendicular to the force, height is parallel to it, so for dv the cells are named appropriately but for lateral the cell names are reverse of this equation</t>
      </text>
    </comment>
    <comment ref="L7" authorId="1" shapeId="0" xr:uid="{A91C2237-EBAA-47B2-9E75-B37D1EF5B8AB}">
      <text>
        <t>[Threaded comment]
Your version of Excel allows you to read this threaded comment; however, any edits to it will get removed if the file is opened in a newer version of Excel. Learn more: https://go.microsoft.com/fwlink/?linkid=870924
Comment:
    J=bh(b^2+h^2)/12</t>
      </text>
    </comment>
    <comment ref="D14" authorId="2" shapeId="0" xr:uid="{F07DC2B8-5AE1-42FD-91AB-9FE536E69A29}">
      <text>
        <r>
          <rPr>
            <b/>
            <sz val="9"/>
            <color indexed="81"/>
            <rFont val="Tahoma"/>
            <family val="2"/>
          </rPr>
          <t>Dana Korneisel:</t>
        </r>
        <r>
          <rPr>
            <sz val="9"/>
            <color indexed="81"/>
            <rFont val="Tahoma"/>
            <family val="2"/>
          </rPr>
          <t xml:space="preserve">
A=pi*w*h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tc={8A339027-C56B-4F42-8887-9E716FC94CF2}</author>
    <author>tc={8A23DDD3-5EC6-4C75-AF31-CF66D11914A6}</author>
  </authors>
  <commentList>
    <comment ref="H7" authorId="0" shapeId="0" xr:uid="{8A339027-C56B-4F42-8887-9E716FC94CF2}">
      <text>
        <t>[Threaded comment]
Your version of Excel allows you to read this threaded comment; however, any edits to it will get removed if the file is opened in a newer version of Excel. Learn more: https://go.microsoft.com/fwlink/?linkid=870924
Comment:
    I = bh^3 / 3 
Base is perpendicular to the force, height is parallel to it, so for dv the cells are named appropriately but for lateral the cell names are reverse of this equation</t>
      </text>
    </comment>
    <comment ref="J7" authorId="1" shapeId="0" xr:uid="{8A23DDD3-5EC6-4C75-AF31-CF66D11914A6}">
      <text>
        <t>[Threaded comment]
Your version of Excel allows you to read this threaded comment; however, any edits to it will get removed if the file is opened in a newer version of Excel. Learn more: https://go.microsoft.com/fwlink/?linkid=870924
Comment:
    J=bh(b^2+h^2)/12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tc={59D4F068-7398-4FC8-8619-6A47F9C0B01A}</author>
    <author>tc={A51632BD-6A5A-4243-9794-41FE3558B900}</author>
    <author>tc={8897877C-7D00-486B-B410-DA013779DC67}</author>
    <author>tc={6AECEDA8-9997-498E-B164-F5A8F184BEA0}</author>
    <author>tc={DCC880F7-9FAF-439B-8391-B7F8E7384342}</author>
    <author>tc={9323DD18-E869-49D5-AB9B-DA6FB1FC3FC4}</author>
    <author>tc={FCDBBD81-6852-49E2-9DB4-A0DC55788B19}</author>
    <author>tc={5BF95B31-C853-4F4F-9DF9-2244FA9EE1DC}</author>
    <author>tc={60BFC322-4F3E-43E5-B729-64E1243512AF}</author>
    <author>tc={9DF22E53-A26A-45F6-BD09-818B358113C4}</author>
    <author>tc={86651FC8-24FD-497E-97C8-80E03465525E}</author>
    <author>tc={9081EDBA-7060-4DBD-A1A8-1ECB1384B15A}</author>
    <author>tc={530D5430-2C49-41CC-BE94-05FE36D82ADE}</author>
    <author>tc={F61CE478-71E7-4FF6-B4B8-7E93E4539F78}</author>
    <author>tc={3C02538D-BD9F-44B2-8BD0-267C33AD2DEB}</author>
    <author>tc={1E15E214-504C-40C5-81A9-894AC594396C}</author>
    <author>tc={1E442B66-D2F2-457E-B0D9-D108BA0343EC}</author>
    <author>tc={17B37749-230C-47C2-B42B-AF9DC2881C5A}</author>
  </authors>
  <commentList>
    <comment ref="H7" authorId="0" shapeId="0" xr:uid="{59D4F068-7398-4FC8-8619-6A47F9C0B01A}">
      <text>
        <t>[Threaded comment]
Your version of Excel allows you to read this threaded comment; however, any edits to it will get removed if the file is opened in a newer version of Excel. Learn more: https://go.microsoft.com/fwlink/?linkid=870924
Comment:
    I = bh^3 / 3 
Base is perpendicular to the force, height is parallel to it, so for dv the cells are named appropriately but for lateral the cell names are reverse of this equation</t>
      </text>
    </comment>
    <comment ref="J7" authorId="1" shapeId="0" xr:uid="{A51632BD-6A5A-4243-9794-41FE3558B900}">
      <text>
        <t>[Threaded comment]
Your version of Excel allows you to read this threaded comment; however, any edits to it will get removed if the file is opened in a newer version of Excel. Learn more: https://go.microsoft.com/fwlink/?linkid=870924
Comment:
    J=bh(b^2+h^2)/12</t>
      </text>
    </comment>
    <comment ref="H13" authorId="2" shapeId="0" xr:uid="{8897877C-7D00-486B-B410-DA013779DC67}">
      <text>
        <t>[Threaded comment]
Your version of Excel allows you to read this threaded comment; however, any edits to it will get removed if the file is opened in a newer version of Excel. Learn more: https://go.microsoft.com/fwlink/?linkid=870924
Comment:
    I = bh^3 / 3 
Base is perpendicular to the force, height is parallel to it, so for dv the cells are named appropriately but for lateral the cell names are reverse of this equation</t>
      </text>
    </comment>
    <comment ref="J13" authorId="3" shapeId="0" xr:uid="{6AECEDA8-9997-498E-B164-F5A8F184BEA0}">
      <text>
        <t>[Threaded comment]
Your version of Excel allows you to read this threaded comment; however, any edits to it will get removed if the file is opened in a newer version of Excel. Learn more: https://go.microsoft.com/fwlink/?linkid=870924
Comment:
    J=bh(b^2+h^2)/12</t>
      </text>
    </comment>
    <comment ref="H19" authorId="4" shapeId="0" xr:uid="{DCC880F7-9FAF-439B-8391-B7F8E7384342}">
      <text>
        <t>[Threaded comment]
Your version of Excel allows you to read this threaded comment; however, any edits to it will get removed if the file is opened in a newer version of Excel. Learn more: https://go.microsoft.com/fwlink/?linkid=870924
Comment:
    I = bh^3 / 3 
Base is perpendicular to the force, height is parallel to it, so for dv the cells are named appropriately but for lateral the cell names are reverse of this equation</t>
      </text>
    </comment>
    <comment ref="J19" authorId="5" shapeId="0" xr:uid="{9323DD18-E869-49D5-AB9B-DA6FB1FC3FC4}">
      <text>
        <t>[Threaded comment]
Your version of Excel allows you to read this threaded comment; however, any edits to it will get removed if the file is opened in a newer version of Excel. Learn more: https://go.microsoft.com/fwlink/?linkid=870924
Comment:
    J=bh(b^2+h^2)/12</t>
      </text>
    </comment>
    <comment ref="H25" authorId="6" shapeId="0" xr:uid="{FCDBBD81-6852-49E2-9DB4-A0DC55788B19}">
      <text>
        <t>[Threaded comment]
Your version of Excel allows you to read this threaded comment; however, any edits to it will get removed if the file is opened in a newer version of Excel. Learn more: https://go.microsoft.com/fwlink/?linkid=870924
Comment:
    I = bh^3 / 3 
Base is perpendicular to the force, height is parallel to it, so for dv the cells are named appropriately but for lateral the cell names are reverse of this equation</t>
      </text>
    </comment>
    <comment ref="J25" authorId="7" shapeId="0" xr:uid="{5BF95B31-C853-4F4F-9DF9-2244FA9EE1DC}">
      <text>
        <t>[Threaded comment]
Your version of Excel allows you to read this threaded comment; however, any edits to it will get removed if the file is opened in a newer version of Excel. Learn more: https://go.microsoft.com/fwlink/?linkid=870924
Comment:
    J=bh(b^2+h^2)/12</t>
      </text>
    </comment>
    <comment ref="H31" authorId="8" shapeId="0" xr:uid="{60BFC322-4F3E-43E5-B729-64E1243512AF}">
      <text>
        <t>[Threaded comment]
Your version of Excel allows you to read this threaded comment; however, any edits to it will get removed if the file is opened in a newer version of Excel. Learn more: https://go.microsoft.com/fwlink/?linkid=870924
Comment:
    I = bh^3 / 3 
Base is perpendicular to the force, height is parallel to it, so for dv the cells are named appropriately but for lateral the cell names are reverse of this equation</t>
      </text>
    </comment>
    <comment ref="J31" authorId="9" shapeId="0" xr:uid="{9DF22E53-A26A-45F6-BD09-818B358113C4}">
      <text>
        <t>[Threaded comment]
Your version of Excel allows you to read this threaded comment; however, any edits to it will get removed if the file is opened in a newer version of Excel. Learn more: https://go.microsoft.com/fwlink/?linkid=870924
Comment:
    J=bh(b^2+h^2)/12</t>
      </text>
    </comment>
    <comment ref="H37" authorId="10" shapeId="0" xr:uid="{86651FC8-24FD-497E-97C8-80E03465525E}">
      <text>
        <t>[Threaded comment]
Your version of Excel allows you to read this threaded comment; however, any edits to it will get removed if the file is opened in a newer version of Excel. Learn more: https://go.microsoft.com/fwlink/?linkid=870924
Comment:
    I = bh^3 / 3 
Base is perpendicular to the force, height is parallel to it, so for dv the cells are named appropriately but for lateral the cell names are reverse of this equation</t>
      </text>
    </comment>
    <comment ref="J37" authorId="11" shapeId="0" xr:uid="{9081EDBA-7060-4DBD-A1A8-1ECB1384B15A}">
      <text>
        <t>[Threaded comment]
Your version of Excel allows you to read this threaded comment; however, any edits to it will get removed if the file is opened in a newer version of Excel. Learn more: https://go.microsoft.com/fwlink/?linkid=870924
Comment:
    J=bh(b^2+h^2)/12</t>
      </text>
    </comment>
    <comment ref="H43" authorId="12" shapeId="0" xr:uid="{530D5430-2C49-41CC-BE94-05FE36D82ADE}">
      <text>
        <t>[Threaded comment]
Your version of Excel allows you to read this threaded comment; however, any edits to it will get removed if the file is opened in a newer version of Excel. Learn more: https://go.microsoft.com/fwlink/?linkid=870924
Comment:
    I = bh^3 / 3 
Base is perpendicular to the force, height is parallel to it, so for dv the cells are named appropriately but for lateral the cell names are reverse of this equation</t>
      </text>
    </comment>
    <comment ref="J43" authorId="13" shapeId="0" xr:uid="{F61CE478-71E7-4FF6-B4B8-7E93E4539F78}">
      <text>
        <t>[Threaded comment]
Your version of Excel allows you to read this threaded comment; however, any edits to it will get removed if the file is opened in a newer version of Excel. Learn more: https://go.microsoft.com/fwlink/?linkid=870924
Comment:
    J=bh(b^2+h^2)/12</t>
      </text>
    </comment>
    <comment ref="H49" authorId="14" shapeId="0" xr:uid="{3C02538D-BD9F-44B2-8BD0-267C33AD2DEB}">
      <text>
        <t>[Threaded comment]
Your version of Excel allows you to read this threaded comment; however, any edits to it will get removed if the file is opened in a newer version of Excel. Learn more: https://go.microsoft.com/fwlink/?linkid=870924
Comment:
    I = bh^3 / 3 
Base is perpendicular to the force, height is parallel to it, so for dv the cells are named appropriately but for lateral the cell names are reverse of this equation</t>
      </text>
    </comment>
    <comment ref="J49" authorId="15" shapeId="0" xr:uid="{1E15E214-504C-40C5-81A9-894AC594396C}">
      <text>
        <t>[Threaded comment]
Your version of Excel allows you to read this threaded comment; however, any edits to it will get removed if the file is opened in a newer version of Excel. Learn more: https://go.microsoft.com/fwlink/?linkid=870924
Comment:
    J=bh(b^2+h^2)/12</t>
      </text>
    </comment>
    <comment ref="H55" authorId="16" shapeId="0" xr:uid="{1E442B66-D2F2-457E-B0D9-D108BA0343EC}">
      <text>
        <t>[Threaded comment]
Your version of Excel allows you to read this threaded comment; however, any edits to it will get removed if the file is opened in a newer version of Excel. Learn more: https://go.microsoft.com/fwlink/?linkid=870924
Comment:
    I = bh^3 / 3 
Base is perpendicular to the force, height is parallel to it, so for dv the cells are named appropriately but for lateral the cell names are reverse of this equation</t>
      </text>
    </comment>
    <comment ref="J55" authorId="17" shapeId="0" xr:uid="{17B37749-230C-47C2-B42B-AF9DC2881C5A}">
      <text>
        <t>[Threaded comment]
Your version of Excel allows you to read this threaded comment; however, any edits to it will get removed if the file is opened in a newer version of Excel. Learn more: https://go.microsoft.com/fwlink/?linkid=870924
Comment:
    J=bh(b^2+h^2)/12</t>
      </text>
    </comment>
  </commentList>
</comments>
</file>

<file path=xl/sharedStrings.xml><?xml version="1.0" encoding="utf-8"?>
<sst xmlns="http://schemas.openxmlformats.org/spreadsheetml/2006/main" count="339" uniqueCount="180">
  <si>
    <t>Taxon of interest</t>
  </si>
  <si>
    <t>Available data for measurements</t>
  </si>
  <si>
    <t>Base measure</t>
  </si>
  <si>
    <t>Height measure</t>
  </si>
  <si>
    <t>CT reconstruction of axial column, surface rendering</t>
  </si>
  <si>
    <t>Tiktaalik roseae</t>
  </si>
  <si>
    <t xml:space="preserve">Source </t>
  </si>
  <si>
    <t>Stewart et al., 2024</t>
  </si>
  <si>
    <t>Eusthenopteron fordii</t>
  </si>
  <si>
    <t>Hitchcock drawings and reconstructions</t>
  </si>
  <si>
    <t>Hitchcock, 1992</t>
  </si>
  <si>
    <t>Greererpeton sp.</t>
  </si>
  <si>
    <t>Mandegeria sp.</t>
  </si>
  <si>
    <t>Strepsodus</t>
  </si>
  <si>
    <t>Ichthyostega</t>
  </si>
  <si>
    <t>Acanthostega</t>
  </si>
  <si>
    <t>Whaatcheeria</t>
  </si>
  <si>
    <t>Elpistostege?</t>
  </si>
  <si>
    <t>Gogonasus</t>
  </si>
  <si>
    <t>Holland, 2014</t>
  </si>
  <si>
    <t>notes</t>
  </si>
  <si>
    <t>done</t>
  </si>
  <si>
    <t>Can project axial column shape around fm &amp; nc pit but no length</t>
  </si>
  <si>
    <t>Images of specimen and of CT renderings</t>
  </si>
  <si>
    <t>length anterior to vertebral column from recon ~=5vertebrae</t>
  </si>
  <si>
    <t>drawings for base and height, recon for length</t>
  </si>
  <si>
    <t>Godfrey, 1989</t>
  </si>
  <si>
    <t>Johanson, Ahlberg, &amp; Ritchie, 2003</t>
  </si>
  <si>
    <t>images for base and height around exocc</t>
  </si>
  <si>
    <t>what to use for length?</t>
  </si>
  <si>
    <t>Garvey, Johanson &amp; Warren, 2005</t>
  </si>
  <si>
    <t>images and drawings for height, no widths</t>
  </si>
  <si>
    <t>Barameda?</t>
  </si>
  <si>
    <t>v7 in good condition for height, widths or length?</t>
  </si>
  <si>
    <t>Ben?</t>
  </si>
  <si>
    <t>Rhizodus?</t>
  </si>
  <si>
    <t>maybe not</t>
  </si>
  <si>
    <t>images of some verts in 2019 paper</t>
  </si>
  <si>
    <t>anterior view available?, Jarvik 96 has a recon</t>
  </si>
  <si>
    <t xml:space="preserve">base or height from an anterior thoracic?, length from recon, base also from braincase JarvikFig35?, </t>
  </si>
  <si>
    <t>width is the challenge here, possibly from braincase or ask Pierce for anterior view of their recon w/o skull?</t>
  </si>
  <si>
    <t>Ahlberg, Clack, &amp; Blom, 2005; Jarvik, 1996; Pierce, Clack, &amp; Hutchinson, 2012</t>
  </si>
  <si>
    <t>height from drawings or recon, width?, length from recon</t>
  </si>
  <si>
    <t>width a challenge here too</t>
  </si>
  <si>
    <t>Coates, 2011</t>
  </si>
  <si>
    <t>Holmes, 1984</t>
  </si>
  <si>
    <t>get from Ben</t>
  </si>
  <si>
    <t>Otoo et al., 2021</t>
  </si>
  <si>
    <t>Holmes, 1989</t>
  </si>
  <si>
    <t>recon for all dimensions</t>
  </si>
  <si>
    <t>Protogyrinus</t>
  </si>
  <si>
    <t>Archeria</t>
  </si>
  <si>
    <t>recons available for all dimensions</t>
  </si>
  <si>
    <t>problems: where to end length and are the centra an issue for the sturgeon analogue?</t>
  </si>
  <si>
    <t>""</t>
  </si>
  <si>
    <t>Taxon</t>
  </si>
  <si>
    <t>NA</t>
  </si>
  <si>
    <t>A</t>
  </si>
  <si>
    <t>Acanthostega gunnari</t>
  </si>
  <si>
    <t>Whatcheeria deltae</t>
  </si>
  <si>
    <t>B</t>
  </si>
  <si>
    <t>C</t>
  </si>
  <si>
    <t>D</t>
  </si>
  <si>
    <t>E</t>
  </si>
  <si>
    <t>F</t>
  </si>
  <si>
    <t>Greererpeton burkemorani</t>
  </si>
  <si>
    <t>Trimerorhachis insignis</t>
  </si>
  <si>
    <t>Proterogyrinus scheeli</t>
  </si>
  <si>
    <t>2D reconstruction, modified by BKAO</t>
  </si>
  <si>
    <t>Archeria crassidisca</t>
  </si>
  <si>
    <t>Coates, 1996</t>
  </si>
  <si>
    <t>Otoo, et al. 2021 + pers. obsv. BKAO</t>
  </si>
  <si>
    <t>Case, 1911; 1935; Shiskin, 2000; Pawley, 2000</t>
  </si>
  <si>
    <t>CT reconstruction of axial column by TAS, surface rendering</t>
  </si>
  <si>
    <t>2D reconstruction by BKAO from photographs &amp; direct obs</t>
  </si>
  <si>
    <t>2D reconstruction and drawn figures, modified by BKAO</t>
  </si>
  <si>
    <t>2D reconstruction by BKAO from drawn figures</t>
  </si>
  <si>
    <t>Length of area of interest (across centra)</t>
  </si>
  <si>
    <t>Notochord canal diameter</t>
  </si>
  <si>
    <t>idealized as a rectangle not a triangle</t>
  </si>
  <si>
    <t>notochordal canal restricted</t>
  </si>
  <si>
    <t>notochordal canal highly restricted</t>
  </si>
  <si>
    <r>
      <t>I</t>
    </r>
    <r>
      <rPr>
        <vertAlign val="subscript"/>
        <sz val="11"/>
        <color theme="1"/>
        <rFont val="Aptos Narrow"/>
        <family val="2"/>
        <scheme val="minor"/>
      </rPr>
      <t>lat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</si>
  <si>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dv</t>
    </r>
  </si>
  <si>
    <t>J</t>
  </si>
  <si>
    <t>Figure Position</t>
  </si>
  <si>
    <t>rectangle</t>
  </si>
  <si>
    <t>Height  (m)</t>
  </si>
  <si>
    <t>Base (m)</t>
  </si>
  <si>
    <t>Length (m)</t>
  </si>
  <si>
    <t>RadiusNotochord(m)</t>
  </si>
  <si>
    <t>Lateral Bending</t>
  </si>
  <si>
    <t>input degrees</t>
  </si>
  <si>
    <t>input radians</t>
  </si>
  <si>
    <t>d (m)</t>
  </si>
  <si>
    <r>
      <t>I</t>
    </r>
    <r>
      <rPr>
        <vertAlign val="subscript"/>
        <sz val="11"/>
        <color theme="1"/>
        <rFont val="Aptos Narrow"/>
        <family val="2"/>
        <scheme val="minor"/>
      </rPr>
      <t>lat</t>
    </r>
    <r>
      <rPr>
        <sz val="11"/>
        <color theme="1"/>
        <rFont val="Aptos Narrow"/>
        <family val="2"/>
        <scheme val="minor"/>
      </rPr>
      <t xml:space="preserve"> (m</t>
    </r>
    <r>
      <rPr>
        <vertAlign val="super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</si>
  <si>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dv</t>
    </r>
    <r>
      <rPr>
        <sz val="11"/>
        <color theme="1"/>
        <rFont val="Aptos Narrow"/>
        <family val="2"/>
        <scheme val="minor"/>
      </rPr>
      <t xml:space="preserve"> (m</t>
    </r>
    <r>
      <rPr>
        <vertAlign val="super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)</t>
    </r>
  </si>
  <si>
    <t>Force solved for lateral bending (N)</t>
  </si>
  <si>
    <t>Force solved for DV bending (N)</t>
  </si>
  <si>
    <t>Dorsoventral Bending</t>
  </si>
  <si>
    <t>Torsion</t>
  </si>
  <si>
    <t>E(Pa) lateral column</t>
  </si>
  <si>
    <t>E(Pa) dorsal column</t>
  </si>
  <si>
    <t>G(Pa) column</t>
  </si>
  <si>
    <t>Torque (Nm)</t>
  </si>
  <si>
    <t>Lateral Bending notochord</t>
  </si>
  <si>
    <t>Dorsoventral Bending notochord</t>
  </si>
  <si>
    <t>Torsion notochord</t>
  </si>
  <si>
    <t>E(Pa) lateral notochord</t>
  </si>
  <si>
    <t>E(Pa) dorsal notochord</t>
  </si>
  <si>
    <t>G(Pa) notochord</t>
  </si>
  <si>
    <r>
      <t>I (m</t>
    </r>
    <r>
      <rPr>
        <vertAlign val="super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) lateral</t>
    </r>
  </si>
  <si>
    <r>
      <t>I (m</t>
    </r>
    <r>
      <rPr>
        <vertAlign val="super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) dv</t>
    </r>
  </si>
  <si>
    <t>DIY Taxon</t>
  </si>
  <si>
    <t>Measure height at center of idealized triangle (if not symmetrical, will need new math!)</t>
  </si>
  <si>
    <t>Measure across bottom of idealized triangle</t>
  </si>
  <si>
    <t>Measure length of area of interest, if not 'neck' consider using alternate position E/G</t>
  </si>
  <si>
    <t>Measure notochord radius OR measure intercentral span and multiply by 0.98</t>
  </si>
  <si>
    <t>Note here if your idealized shape is not a triangular prism</t>
  </si>
  <si>
    <t>This is Young's Modulus, measured on the UTM. Make sure it is from the relevant position and in Pa</t>
  </si>
  <si>
    <t xml:space="preserve">Calculate using the appropriate equation for your cross sectional shape and the direction of force </t>
  </si>
  <si>
    <t xml:space="preserve">Double check the direction of force </t>
  </si>
  <si>
    <t>Calculate using the appropriate equation for your cross sectional shape</t>
  </si>
  <si>
    <t>The only piece missing now is your input degrees, use below</t>
  </si>
  <si>
    <t>Make sure they go into the force equations in radians</t>
  </si>
  <si>
    <t>For bending, you will need to convert your angles to a deflection first, again make sure you use radians!</t>
  </si>
  <si>
    <t>Double check the equations in the methods section and that the correct cells are referenced</t>
  </si>
  <si>
    <t>measurements from 'V4'</t>
  </si>
  <si>
    <t>cm2 at 200kPa</t>
  </si>
  <si>
    <t>cm2 at 300 kPa</t>
  </si>
  <si>
    <t>DiameterNotochord(m)</t>
  </si>
  <si>
    <t>Lower limit of normal striated muscle pressures</t>
  </si>
  <si>
    <t>Upper limit of normal striated muscle pressures</t>
  </si>
  <si>
    <t>Chosen</t>
  </si>
  <si>
    <t>Specimens for vertebrae</t>
  </si>
  <si>
    <t>Sources</t>
  </si>
  <si>
    <t>Notes</t>
  </si>
  <si>
    <t>Additional Specimens and sources for skull?</t>
  </si>
  <si>
    <t>NUFV 1008</t>
  </si>
  <si>
    <t>There are also larger specimens known</t>
  </si>
  <si>
    <t>16009 B, primary. 16009D, secondary</t>
  </si>
  <si>
    <t>Case, 1911 &amp; 1935; Shishkin, 2000; Pawley, 2007</t>
  </si>
  <si>
    <t>Milner &amp; Schoch, 2013, composite recon from MCZ 1169 and AMNH 4565</t>
  </si>
  <si>
    <t>Area available for musculature at neck</t>
  </si>
  <si>
    <r>
      <t>Area of cylinder (cm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</si>
  <si>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t>Width (cm)</t>
  </si>
  <si>
    <t>Height (cm)</t>
  </si>
  <si>
    <t>Half of area</t>
  </si>
  <si>
    <t>These numbers were apparently changed on accessioning to either an MCZ or UCMP number, unsure which; both larger and smaller specimens are known</t>
  </si>
  <si>
    <t>CMNH 11069 and CMNH 11068</t>
  </si>
  <si>
    <t>A range of specimen sizes are known, 068 was largest at time of description</t>
  </si>
  <si>
    <t>FMNH PR 1634 primary, 1816 &amp; 1700 secondary</t>
  </si>
  <si>
    <t>Rawson et al., 2021, same specimen</t>
  </si>
  <si>
    <t>MGUH f.n. 1227: X primarily, Y&amp;Z as well</t>
  </si>
  <si>
    <t>X appears to be the largest as wella s the most complete</t>
  </si>
  <si>
    <t>relative size of 1634 to other specimens unknown</t>
  </si>
  <si>
    <t>Scaled Clack, 1994 skull recon to nc canal width</t>
  </si>
  <si>
    <t>Eusthenopteron foordi</t>
  </si>
  <si>
    <t>Reconstructions by Jarvik, Andrews &amp; Westoll, and Hitchcock</t>
  </si>
  <si>
    <t>Andrews &amp; Westoll, 1970; Hitchcock 1992, 1995</t>
  </si>
  <si>
    <t>Base.m</t>
  </si>
  <si>
    <t>Height.m</t>
  </si>
  <si>
    <t>Length.m</t>
  </si>
  <si>
    <t>RadiusNotochord.m</t>
  </si>
  <si>
    <t>E.Pa.LatCol</t>
  </si>
  <si>
    <t>E.Pa.Dcol</t>
  </si>
  <si>
    <t>G.Pa.Col</t>
  </si>
  <si>
    <t>E.Pa.LatNot</t>
  </si>
  <si>
    <t>E.Pa.Dnot</t>
  </si>
  <si>
    <t>G.Pa.Not</t>
  </si>
  <si>
    <t>IlatCol</t>
  </si>
  <si>
    <t>IDVCol</t>
  </si>
  <si>
    <t>Jcol</t>
  </si>
  <si>
    <t>DiameterNotochord.m</t>
  </si>
  <si>
    <t>Inoto</t>
  </si>
  <si>
    <t>Jnoto</t>
  </si>
  <si>
    <t>LatBendDegrees</t>
  </si>
  <si>
    <t>DVBendDegrees</t>
  </si>
  <si>
    <t>TorsionDegrees</t>
  </si>
  <si>
    <t>MaxMuscleArea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</si>
</sst>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2"/>
      <color theme="1"/>
      <name val="Aptos Narrow"/>
      <family val="2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Aptos Narrow"/>
      <scheme val="minor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7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5" fillId="0" borderId="0" xfId="0" applyFont="1"/>
    <xf numFmtId="0" fontId="7" fillId="0" borderId="1" xfId="0" applyFont="1" applyBorder="1" applyAlignment="1">
      <alignment wrapText="1"/>
    </xf>
    <xf numFmtId="11" fontId="0" fillId="0" borderId="0" xfId="0" applyNumberFormat="1"/>
    <xf numFmtId="0" fontId="0" fillId="0" borderId="1" xfId="0" applyBorder="1" applyAlignment="1">
      <alignment wrapText="1"/>
    </xf>
    <xf numFmtId="0" fontId="4" fillId="0" borderId="0" xfId="0" applyFont="1"/>
    <xf numFmtId="0" fontId="0" fillId="7" borderId="0" xfId="0" applyFill="1" applyAlignment="1">
      <alignment wrapText="1"/>
    </xf>
    <xf numFmtId="0" fontId="0" fillId="7" borderId="0" xfId="0" applyFill="1"/>
    <xf numFmtId="0" fontId="8" fillId="0" borderId="0" xfId="0" applyFont="1"/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11" fontId="9" fillId="0" borderId="5" xfId="0" applyNumberFormat="1" applyFont="1" applyBorder="1" applyAlignment="1">
      <alignment wrapText="1"/>
    </xf>
    <xf numFmtId="11" fontId="9" fillId="0" borderId="4" xfId="0" applyNumberFormat="1" applyFont="1" applyBorder="1" applyAlignment="1">
      <alignment wrapText="1"/>
    </xf>
    <xf numFmtId="0" fontId="0" fillId="0" borderId="6" xfId="0" applyBorder="1"/>
    <xf numFmtId="11" fontId="0" fillId="0" borderId="6" xfId="0" applyNumberFormat="1" applyBorder="1"/>
    <xf numFmtId="0" fontId="12" fillId="0" borderId="0" xfId="0" applyFont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  <color rgb="FFFFFF7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a Korneisel" id="{028091DF-D1DD-4BC4-822C-CE2550CBD891}" userId="245da302597e284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" dT="2024-08-15T15:35:27.16" personId="{028091DF-D1DD-4BC4-822C-CE2550CBD891}" id="{6871F4A5-C072-4670-BF83-85EA8D82AE89}">
    <text>I = bh^3 / 3 
Base is perpendicular to the force, height is parallel to it, so for dv the cells are named appropriately but for lateral the cell names are reverse of this equation</text>
  </threadedComment>
  <threadedComment ref="L7" dT="2024-08-15T15:41:00.68" personId="{028091DF-D1DD-4BC4-822C-CE2550CBD891}" id="{A91C2237-EBAA-47B2-9E75-B37D1EF5B8AB}">
    <text>J=bh(b^2+h^2)/12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7" dT="2024-08-15T15:35:27.16" personId="{028091DF-D1DD-4BC4-822C-CE2550CBD891}" id="{8A339027-C56B-4F42-8887-9E716FC94CF2}">
    <text>I = bh^3 / 3 
Base is perpendicular to the force, height is parallel to it, so for dv the cells are named appropriately but for lateral the cell names are reverse of this equation</text>
  </threadedComment>
  <threadedComment ref="J7" dT="2024-08-15T15:41:00.68" personId="{028091DF-D1DD-4BC4-822C-CE2550CBD891}" id="{8A23DDD3-5EC6-4C75-AF31-CF66D11914A6}">
    <text>J=bh(b^2+h^2)/12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7" dT="2024-08-15T15:35:27.16" personId="{028091DF-D1DD-4BC4-822C-CE2550CBD891}" id="{59D4F068-7398-4FC8-8619-6A47F9C0B01A}">
    <text>I = bh^3 / 3 
Base is perpendicular to the force, height is parallel to it, so for dv the cells are named appropriately but for lateral the cell names are reverse of this equation</text>
  </threadedComment>
  <threadedComment ref="J7" dT="2024-08-15T15:41:00.68" personId="{028091DF-D1DD-4BC4-822C-CE2550CBD891}" id="{A51632BD-6A5A-4243-9794-41FE3558B900}">
    <text>J=bh(b^2+h^2)/12</text>
  </threadedComment>
  <threadedComment ref="H13" dT="2024-08-15T15:35:27.16" personId="{028091DF-D1DD-4BC4-822C-CE2550CBD891}" id="{8897877C-7D00-486B-B410-DA013779DC67}">
    <text>I = bh^3 / 3 
Base is perpendicular to the force, height is parallel to it, so for dv the cells are named appropriately but for lateral the cell names are reverse of this equation</text>
  </threadedComment>
  <threadedComment ref="J13" dT="2024-08-15T15:41:00.68" personId="{028091DF-D1DD-4BC4-822C-CE2550CBD891}" id="{6AECEDA8-9997-498E-B164-F5A8F184BEA0}">
    <text>J=bh(b^2+h^2)/12</text>
  </threadedComment>
  <threadedComment ref="H19" dT="2024-08-15T15:35:27.16" personId="{028091DF-D1DD-4BC4-822C-CE2550CBD891}" id="{DCC880F7-9FAF-439B-8391-B7F8E7384342}">
    <text>I = bh^3 / 3 
Base is perpendicular to the force, height is parallel to it, so for dv the cells are named appropriately but for lateral the cell names are reverse of this equation</text>
  </threadedComment>
  <threadedComment ref="J19" dT="2024-08-15T15:41:00.68" personId="{028091DF-D1DD-4BC4-822C-CE2550CBD891}" id="{9323DD18-E869-49D5-AB9B-DA6FB1FC3FC4}">
    <text>J=bh(b^2+h^2)/12</text>
  </threadedComment>
  <threadedComment ref="H25" dT="2024-08-15T15:35:27.16" personId="{028091DF-D1DD-4BC4-822C-CE2550CBD891}" id="{FCDBBD81-6852-49E2-9DB4-A0DC55788B19}">
    <text>I = bh^3 / 3 
Base is perpendicular to the force, height is parallel to it, so for dv the cells are named appropriately but for lateral the cell names are reverse of this equation</text>
  </threadedComment>
  <threadedComment ref="J25" dT="2024-08-15T15:41:00.68" personId="{028091DF-D1DD-4BC4-822C-CE2550CBD891}" id="{5BF95B31-C853-4F4F-9DF9-2244FA9EE1DC}">
    <text>J=bh(b^2+h^2)/12</text>
  </threadedComment>
  <threadedComment ref="H31" dT="2024-08-15T15:35:27.16" personId="{028091DF-D1DD-4BC4-822C-CE2550CBD891}" id="{60BFC322-4F3E-43E5-B729-64E1243512AF}">
    <text>I = bh^3 / 3 
Base is perpendicular to the force, height is parallel to it, so for dv the cells are named appropriately but for lateral the cell names are reverse of this equation</text>
  </threadedComment>
  <threadedComment ref="J31" dT="2024-08-15T15:41:00.68" personId="{028091DF-D1DD-4BC4-822C-CE2550CBD891}" id="{9DF22E53-A26A-45F6-BD09-818B358113C4}">
    <text>J=bh(b^2+h^2)/12</text>
  </threadedComment>
  <threadedComment ref="H37" dT="2024-08-15T15:35:27.16" personId="{028091DF-D1DD-4BC4-822C-CE2550CBD891}" id="{86651FC8-24FD-497E-97C8-80E03465525E}">
    <text>I = bh^3 / 3 
Base is perpendicular to the force, height is parallel to it, so for dv the cells are named appropriately but for lateral the cell names are reverse of this equation</text>
  </threadedComment>
  <threadedComment ref="J37" dT="2024-08-15T15:41:00.68" personId="{028091DF-D1DD-4BC4-822C-CE2550CBD891}" id="{9081EDBA-7060-4DBD-A1A8-1ECB1384B15A}">
    <text>J=bh(b^2+h^2)/12</text>
  </threadedComment>
  <threadedComment ref="H43" dT="2024-08-15T15:35:27.16" personId="{028091DF-D1DD-4BC4-822C-CE2550CBD891}" id="{530D5430-2C49-41CC-BE94-05FE36D82ADE}">
    <text>I = bh^3 / 3 
Base is perpendicular to the force, height is parallel to it, so for dv the cells are named appropriately but for lateral the cell names are reverse of this equation</text>
  </threadedComment>
  <threadedComment ref="J43" dT="2024-08-15T15:41:00.68" personId="{028091DF-D1DD-4BC4-822C-CE2550CBD891}" id="{F61CE478-71E7-4FF6-B4B8-7E93E4539F78}">
    <text>J=bh(b^2+h^2)/12</text>
  </threadedComment>
  <threadedComment ref="H49" dT="2024-08-15T15:35:27.16" personId="{028091DF-D1DD-4BC4-822C-CE2550CBD891}" id="{3C02538D-BD9F-44B2-8BD0-267C33AD2DEB}">
    <text>I = bh^3 / 3 
Base is perpendicular to the force, height is parallel to it, so for dv the cells are named appropriately but for lateral the cell names are reverse of this equation</text>
  </threadedComment>
  <threadedComment ref="J49" dT="2024-08-15T15:41:00.68" personId="{028091DF-D1DD-4BC4-822C-CE2550CBD891}" id="{1E15E214-504C-40C5-81A9-894AC594396C}">
    <text>J=bh(b^2+h^2)/12</text>
  </threadedComment>
  <threadedComment ref="H55" dT="2024-08-15T15:35:27.16" personId="{028091DF-D1DD-4BC4-822C-CE2550CBD891}" id="{1E442B66-D2F2-457E-B0D9-D108BA0343EC}">
    <text>I = bh^3 / 3 
Base is perpendicular to the force, height is parallel to it, so for dv the cells are named appropriately but for lateral the cell names are reverse of this equation</text>
  </threadedComment>
  <threadedComment ref="J55" dT="2024-08-15T15:41:00.68" personId="{028091DF-D1DD-4BC4-822C-CE2550CBD891}" id="{17B37749-230C-47C2-B42B-AF9DC2881C5A}">
    <text>J=bh(b^2+h^2)/12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086A-FD11-412C-8360-0ECDD2FA8F42}">
  <dimension ref="A1:E22"/>
  <sheetViews>
    <sheetView workbookViewId="0">
      <selection activeCell="E19" sqref="E19"/>
    </sheetView>
  </sheetViews>
  <sheetFormatPr defaultRowHeight="15" x14ac:dyDescent="0.25"/>
  <cols>
    <col min="1" max="1" width="21.5703125" customWidth="1"/>
    <col min="2" max="2" width="43.42578125" customWidth="1"/>
    <col min="3" max="3" width="40.140625" customWidth="1"/>
    <col min="4" max="4" width="63.28515625" customWidth="1"/>
  </cols>
  <sheetData>
    <row r="1" spans="1:4" x14ac:dyDescent="0.25">
      <c r="A1" t="s">
        <v>0</v>
      </c>
      <c r="B1" t="s">
        <v>1</v>
      </c>
      <c r="C1" t="s">
        <v>6</v>
      </c>
      <c r="D1" t="s">
        <v>20</v>
      </c>
    </row>
    <row r="2" spans="1:4" x14ac:dyDescent="0.25">
      <c r="A2" s="2" t="s">
        <v>5</v>
      </c>
      <c r="B2" t="s">
        <v>4</v>
      </c>
      <c r="C2" t="s">
        <v>7</v>
      </c>
      <c r="D2" t="s">
        <v>21</v>
      </c>
    </row>
    <row r="3" spans="1:4" x14ac:dyDescent="0.25">
      <c r="A3" s="3" t="s">
        <v>8</v>
      </c>
      <c r="B3" t="s">
        <v>9</v>
      </c>
      <c r="C3" t="s">
        <v>10</v>
      </c>
      <c r="D3" t="s">
        <v>38</v>
      </c>
    </row>
    <row r="4" spans="1:4" x14ac:dyDescent="0.25">
      <c r="A4" s="3" t="s">
        <v>11</v>
      </c>
      <c r="B4" t="s">
        <v>25</v>
      </c>
      <c r="C4" t="s">
        <v>26</v>
      </c>
      <c r="D4" t="s">
        <v>24</v>
      </c>
    </row>
    <row r="5" spans="1:4" x14ac:dyDescent="0.25">
      <c r="A5" s="5" t="s">
        <v>12</v>
      </c>
      <c r="B5" t="s">
        <v>28</v>
      </c>
      <c r="C5" t="s">
        <v>27</v>
      </c>
      <c r="D5" t="s">
        <v>29</v>
      </c>
    </row>
    <row r="6" spans="1:4" x14ac:dyDescent="0.25">
      <c r="A6" s="5" t="s">
        <v>32</v>
      </c>
      <c r="B6" t="s">
        <v>31</v>
      </c>
      <c r="C6" t="s">
        <v>30</v>
      </c>
      <c r="D6" t="s">
        <v>33</v>
      </c>
    </row>
    <row r="7" spans="1:4" x14ac:dyDescent="0.25">
      <c r="A7" s="5" t="s">
        <v>13</v>
      </c>
      <c r="B7" t="s">
        <v>37</v>
      </c>
      <c r="C7" t="s">
        <v>34</v>
      </c>
    </row>
    <row r="8" spans="1:4" x14ac:dyDescent="0.25">
      <c r="A8" s="1" t="s">
        <v>35</v>
      </c>
      <c r="B8" t="s">
        <v>36</v>
      </c>
      <c r="C8" t="s">
        <v>34</v>
      </c>
    </row>
    <row r="9" spans="1:4" x14ac:dyDescent="0.25">
      <c r="A9" s="4" t="s">
        <v>14</v>
      </c>
      <c r="B9" t="s">
        <v>39</v>
      </c>
      <c r="C9" t="s">
        <v>41</v>
      </c>
      <c r="D9" t="s">
        <v>40</v>
      </c>
    </row>
    <row r="10" spans="1:4" x14ac:dyDescent="0.25">
      <c r="A10" s="4" t="s">
        <v>15</v>
      </c>
      <c r="B10" t="s">
        <v>42</v>
      </c>
      <c r="C10" t="s">
        <v>44</v>
      </c>
      <c r="D10" t="s">
        <v>43</v>
      </c>
    </row>
    <row r="11" spans="1:4" x14ac:dyDescent="0.25">
      <c r="A11" s="3" t="s">
        <v>16</v>
      </c>
      <c r="B11" t="s">
        <v>46</v>
      </c>
      <c r="C11" t="s">
        <v>47</v>
      </c>
    </row>
    <row r="12" spans="1:4" x14ac:dyDescent="0.25">
      <c r="A12" s="4" t="s">
        <v>50</v>
      </c>
      <c r="B12" t="s">
        <v>49</v>
      </c>
      <c r="C12" t="s">
        <v>45</v>
      </c>
      <c r="D12" t="s">
        <v>53</v>
      </c>
    </row>
    <row r="13" spans="1:4" x14ac:dyDescent="0.25">
      <c r="A13" s="4" t="s">
        <v>51</v>
      </c>
      <c r="B13" t="s">
        <v>52</v>
      </c>
      <c r="C13" t="s">
        <v>48</v>
      </c>
      <c r="D13" t="s">
        <v>54</v>
      </c>
    </row>
    <row r="14" spans="1:4" x14ac:dyDescent="0.25">
      <c r="A14" s="1" t="s">
        <v>17</v>
      </c>
    </row>
    <row r="15" spans="1:4" x14ac:dyDescent="0.25">
      <c r="A15" s="5" t="s">
        <v>18</v>
      </c>
      <c r="B15" t="s">
        <v>23</v>
      </c>
      <c r="C15" t="s">
        <v>19</v>
      </c>
      <c r="D15" t="s">
        <v>22</v>
      </c>
    </row>
    <row r="17" spans="1:5" x14ac:dyDescent="0.25">
      <c r="A17" t="s">
        <v>133</v>
      </c>
      <c r="B17" t="s">
        <v>134</v>
      </c>
      <c r="C17" t="s">
        <v>135</v>
      </c>
      <c r="D17" t="s">
        <v>136</v>
      </c>
      <c r="E17" t="s">
        <v>137</v>
      </c>
    </row>
    <row r="18" spans="1:5" x14ac:dyDescent="0.25">
      <c r="A18" s="1" t="s">
        <v>5</v>
      </c>
      <c r="B18" t="s">
        <v>138</v>
      </c>
      <c r="C18" t="s">
        <v>7</v>
      </c>
      <c r="D18" t="s">
        <v>139</v>
      </c>
    </row>
    <row r="19" spans="1:5" x14ac:dyDescent="0.25">
      <c r="A19" s="1" t="s">
        <v>11</v>
      </c>
      <c r="B19" t="s">
        <v>149</v>
      </c>
      <c r="C19" t="s">
        <v>26</v>
      </c>
      <c r="D19" t="s">
        <v>150</v>
      </c>
    </row>
    <row r="20" spans="1:5" x14ac:dyDescent="0.25">
      <c r="A20" s="1" t="s">
        <v>15</v>
      </c>
      <c r="B20" t="s">
        <v>153</v>
      </c>
      <c r="C20" t="s">
        <v>44</v>
      </c>
      <c r="D20" t="s">
        <v>154</v>
      </c>
      <c r="E20" t="s">
        <v>156</v>
      </c>
    </row>
    <row r="21" spans="1:5" x14ac:dyDescent="0.25">
      <c r="A21" s="1" t="s">
        <v>16</v>
      </c>
      <c r="B21" t="s">
        <v>151</v>
      </c>
      <c r="C21" t="s">
        <v>47</v>
      </c>
      <c r="D21" t="s">
        <v>155</v>
      </c>
      <c r="E21" t="s">
        <v>152</v>
      </c>
    </row>
    <row r="22" spans="1:5" x14ac:dyDescent="0.25">
      <c r="A22" s="1" t="s">
        <v>66</v>
      </c>
      <c r="B22" t="s">
        <v>140</v>
      </c>
      <c r="C22" t="s">
        <v>141</v>
      </c>
      <c r="D22" t="s">
        <v>148</v>
      </c>
      <c r="E22" t="s">
        <v>142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AE3F-9449-419E-8ECA-A0432EED6EA2}">
  <dimension ref="A1:L20"/>
  <sheetViews>
    <sheetView workbookViewId="0">
      <selection activeCell="C14" sqref="C14"/>
    </sheetView>
  </sheetViews>
  <sheetFormatPr defaultRowHeight="15" x14ac:dyDescent="0.25"/>
  <cols>
    <col min="1" max="1" width="23.42578125" bestFit="1" customWidth="1"/>
    <col min="2" max="2" width="18.7109375" customWidth="1"/>
    <col min="3" max="3" width="48.7109375" customWidth="1"/>
    <col min="4" max="4" width="41" customWidth="1"/>
    <col min="5" max="5" width="13" customWidth="1"/>
    <col min="6" max="6" width="13.7109375" bestFit="1" customWidth="1"/>
    <col min="7" max="7" width="23.42578125" customWidth="1"/>
    <col min="8" max="8" width="17.7109375" customWidth="1"/>
    <col min="9" max="9" width="30.5703125" customWidth="1"/>
    <col min="10" max="12" width="12" bestFit="1" customWidth="1"/>
  </cols>
  <sheetData>
    <row r="1" spans="1:12" ht="18" x14ac:dyDescent="0.35">
      <c r="A1" t="s">
        <v>55</v>
      </c>
      <c r="B1" t="s">
        <v>85</v>
      </c>
      <c r="C1" t="s">
        <v>1</v>
      </c>
      <c r="D1" t="s">
        <v>6</v>
      </c>
      <c r="E1" t="s">
        <v>2</v>
      </c>
      <c r="F1" t="s">
        <v>3</v>
      </c>
      <c r="G1" t="s">
        <v>77</v>
      </c>
      <c r="H1" t="s">
        <v>78</v>
      </c>
      <c r="I1" t="s">
        <v>20</v>
      </c>
      <c r="J1" t="s">
        <v>82</v>
      </c>
      <c r="K1" t="s">
        <v>83</v>
      </c>
      <c r="L1" t="s">
        <v>84</v>
      </c>
    </row>
    <row r="2" spans="1:12" x14ac:dyDescent="0.25">
      <c r="A2" s="23" t="s">
        <v>157</v>
      </c>
      <c r="B2" t="s">
        <v>56</v>
      </c>
      <c r="C2" t="s">
        <v>158</v>
      </c>
      <c r="D2" t="s">
        <v>159</v>
      </c>
      <c r="E2">
        <v>2.5499999999999998</v>
      </c>
      <c r="F2">
        <v>4.34</v>
      </c>
      <c r="G2">
        <v>3.69</v>
      </c>
      <c r="H2">
        <v>1.4</v>
      </c>
      <c r="J2">
        <f>((F2/100)*(E2/100)^3/48)</f>
        <v>1.4992326562499996E-8</v>
      </c>
      <c r="K2">
        <f>(((F2/100)^3)*(E2/100))/36</f>
        <v>5.7903773666666669E-8</v>
      </c>
      <c r="L2">
        <f>(((F2/100)*(E2/100))/144)*((4*(E2/100)^2)+(3*(F2/100)^2))</f>
        <v>6.3417598999999994E-8</v>
      </c>
    </row>
    <row r="3" spans="1:12" x14ac:dyDescent="0.25">
      <c r="A3" s="1" t="s">
        <v>5</v>
      </c>
      <c r="B3" t="s">
        <v>56</v>
      </c>
      <c r="C3" t="s">
        <v>73</v>
      </c>
      <c r="D3" t="s">
        <v>7</v>
      </c>
      <c r="E3">
        <v>2.2599999999999998</v>
      </c>
      <c r="F3">
        <v>2.5209999999999999</v>
      </c>
      <c r="G3">
        <v>4.7300000000000004</v>
      </c>
      <c r="H3">
        <v>1.653</v>
      </c>
      <c r="I3" t="s">
        <v>127</v>
      </c>
      <c r="J3">
        <f>((F3/100)*(E3/100)^3/48)</f>
        <v>6.0625722283333327E-9</v>
      </c>
      <c r="K3">
        <f>(((F3/100)^3)*(E3/100))/36</f>
        <v>1.0058297466627776E-8</v>
      </c>
      <c r="L3">
        <f>(((F3/100)*(E3/100))/144)*((4*(E3/100)^2)+(3*(F3/100)^2))</f>
        <v>1.5627152737748611E-8</v>
      </c>
    </row>
    <row r="4" spans="1:12" x14ac:dyDescent="0.25">
      <c r="A4" s="1" t="s">
        <v>58</v>
      </c>
      <c r="B4" t="s">
        <v>57</v>
      </c>
      <c r="C4" t="s">
        <v>75</v>
      </c>
      <c r="D4" t="s">
        <v>70</v>
      </c>
      <c r="E4">
        <v>2.427</v>
      </c>
      <c r="F4">
        <v>5.2590000000000003</v>
      </c>
      <c r="G4">
        <v>3.5739999999999998</v>
      </c>
      <c r="H4">
        <v>1.526</v>
      </c>
      <c r="J4">
        <f>((F4/100)*(E4/100)^3/48)</f>
        <v>1.5662867081686875E-8</v>
      </c>
      <c r="K4">
        <f>(((F4/100)^3)*(E4/100))/36</f>
        <v>9.8056590403342529E-8</v>
      </c>
      <c r="L4">
        <f>(((F4/100)*(E4/100))/144)*((4*(E4/100)^2)+(3*(F4/100)^2))</f>
        <v>9.4426265578089395E-8</v>
      </c>
    </row>
    <row r="5" spans="1:12" x14ac:dyDescent="0.25">
      <c r="A5" s="1" t="s">
        <v>59</v>
      </c>
      <c r="B5" t="s">
        <v>60</v>
      </c>
      <c r="C5" t="s">
        <v>74</v>
      </c>
      <c r="D5" t="s">
        <v>71</v>
      </c>
      <c r="E5">
        <v>4.8730000000000002</v>
      </c>
      <c r="F5">
        <v>8.0909999999999993</v>
      </c>
      <c r="G5">
        <v>19.542000000000002</v>
      </c>
      <c r="H5">
        <v>1.1779999999999999</v>
      </c>
      <c r="J5">
        <f t="shared" ref="J5:J9" si="0">((F5/100)*(E5/100)^3/48)</f>
        <v>1.9505190575378065E-7</v>
      </c>
      <c r="K5">
        <f t="shared" ref="K5:K9" si="1">(((F5/100)^3)*(E5/100))/36</f>
        <v>7.169692243509674E-7</v>
      </c>
      <c r="L5">
        <f t="shared" ref="L5:L9" si="2">(((F5/100)*(E5/100))/144)*((4*(E5/100)^2)+(3*(F5/100)^2))</f>
        <v>7.9779612593493309E-7</v>
      </c>
    </row>
    <row r="6" spans="1:12" x14ac:dyDescent="0.25">
      <c r="A6" s="1" t="s">
        <v>65</v>
      </c>
      <c r="B6" t="s">
        <v>61</v>
      </c>
      <c r="C6" t="s">
        <v>68</v>
      </c>
      <c r="D6" t="s">
        <v>26</v>
      </c>
      <c r="E6">
        <v>3.4390000000000001</v>
      </c>
      <c r="F6">
        <v>4.3970000000000002</v>
      </c>
      <c r="G6">
        <v>4.4390000000000001</v>
      </c>
      <c r="H6">
        <v>1.1279999999999999</v>
      </c>
      <c r="J6">
        <f t="shared" si="0"/>
        <v>3.7257332333967311E-8</v>
      </c>
      <c r="K6">
        <f t="shared" si="1"/>
        <v>8.1208048083429738E-8</v>
      </c>
      <c r="L6">
        <f t="shared" si="2"/>
        <v>1.1058247917452872E-7</v>
      </c>
    </row>
    <row r="7" spans="1:12" x14ac:dyDescent="0.25">
      <c r="A7" s="1" t="s">
        <v>66</v>
      </c>
      <c r="B7" t="s">
        <v>62</v>
      </c>
      <c r="C7" t="s">
        <v>76</v>
      </c>
      <c r="D7" t="s">
        <v>72</v>
      </c>
      <c r="E7">
        <v>1.5609999999999999</v>
      </c>
      <c r="F7">
        <v>3.1080000000000001</v>
      </c>
      <c r="G7">
        <v>2.81</v>
      </c>
      <c r="H7">
        <v>0.95899999999999996</v>
      </c>
      <c r="I7" t="s">
        <v>79</v>
      </c>
      <c r="J7">
        <f>((F7/100)*((E7/100)^3))/3</f>
        <v>3.940655454315999E-8</v>
      </c>
      <c r="K7">
        <f>((E7/100)*((F7/100)^3))/3</f>
        <v>1.5621569982144E-7</v>
      </c>
      <c r="L7">
        <f>(((E7/100)*(F7/100)*((E7/100)^2+(F7/100)^2))/12)</f>
        <v>4.8905563591149996E-8</v>
      </c>
    </row>
    <row r="8" spans="1:12" x14ac:dyDescent="0.25">
      <c r="A8" s="6" t="s">
        <v>67</v>
      </c>
      <c r="B8" t="s">
        <v>63</v>
      </c>
      <c r="C8" t="s">
        <v>68</v>
      </c>
      <c r="D8" t="s">
        <v>45</v>
      </c>
      <c r="E8">
        <v>5.1520000000000001</v>
      </c>
      <c r="F8">
        <v>8.42</v>
      </c>
      <c r="G8">
        <v>7.2119999999999997</v>
      </c>
      <c r="H8">
        <v>0.93300000000000005</v>
      </c>
      <c r="I8" t="s">
        <v>80</v>
      </c>
      <c r="J8">
        <f t="shared" si="0"/>
        <v>2.398824176298667E-7</v>
      </c>
      <c r="K8">
        <f t="shared" si="1"/>
        <v>8.5429846904888881E-7</v>
      </c>
      <c r="L8">
        <f t="shared" si="2"/>
        <v>9.6056707529315562E-7</v>
      </c>
    </row>
    <row r="9" spans="1:12" x14ac:dyDescent="0.25">
      <c r="A9" s="6" t="s">
        <v>69</v>
      </c>
      <c r="B9" t="s">
        <v>64</v>
      </c>
      <c r="C9" t="s">
        <v>68</v>
      </c>
      <c r="D9" t="s">
        <v>48</v>
      </c>
      <c r="E9">
        <v>3.8180000000000001</v>
      </c>
      <c r="F9">
        <v>5.681</v>
      </c>
      <c r="G9">
        <v>7.8</v>
      </c>
      <c r="H9">
        <v>0.17</v>
      </c>
      <c r="I9" t="s">
        <v>81</v>
      </c>
      <c r="J9">
        <f t="shared" si="0"/>
        <v>6.5870555215248325E-8</v>
      </c>
      <c r="K9">
        <f t="shared" si="1"/>
        <v>1.9444992999114941E-7</v>
      </c>
      <c r="L9">
        <f t="shared" si="2"/>
        <v>2.336648544470265E-7</v>
      </c>
    </row>
    <row r="10" spans="1:12" x14ac:dyDescent="0.25">
      <c r="A10" s="1"/>
    </row>
    <row r="13" spans="1:12" x14ac:dyDescent="0.25">
      <c r="A13" t="s">
        <v>143</v>
      </c>
    </row>
    <row r="14" spans="1:12" ht="16.5" x14ac:dyDescent="0.25">
      <c r="A14" t="s">
        <v>55</v>
      </c>
      <c r="B14" t="s">
        <v>145</v>
      </c>
      <c r="C14" t="s">
        <v>146</v>
      </c>
      <c r="D14" t="s">
        <v>144</v>
      </c>
      <c r="E14" t="s">
        <v>147</v>
      </c>
    </row>
    <row r="15" spans="1:12" x14ac:dyDescent="0.25">
      <c r="A15" s="23" t="s">
        <v>157</v>
      </c>
      <c r="B15">
        <v>14.06</v>
      </c>
      <c r="C15">
        <v>13.71</v>
      </c>
      <c r="D15">
        <f t="shared" ref="D15:D19" si="3">PI()*C15*B15</f>
        <v>605.58156804686791</v>
      </c>
      <c r="E15">
        <f t="shared" ref="E15:E19" si="4">(D15/2)</f>
        <v>302.79078402343396</v>
      </c>
    </row>
    <row r="16" spans="1:12" x14ac:dyDescent="0.25">
      <c r="A16" s="1" t="s">
        <v>5</v>
      </c>
      <c r="B16">
        <v>16.28</v>
      </c>
      <c r="C16">
        <v>4.1500000000000004</v>
      </c>
      <c r="D16">
        <f t="shared" si="3"/>
        <v>212.25228286183363</v>
      </c>
      <c r="E16">
        <f t="shared" si="4"/>
        <v>106.12614143091682</v>
      </c>
    </row>
    <row r="17" spans="1:5" x14ac:dyDescent="0.25">
      <c r="A17" s="1" t="s">
        <v>58</v>
      </c>
      <c r="B17">
        <v>11.89</v>
      </c>
      <c r="C17">
        <v>5.69</v>
      </c>
      <c r="D17">
        <f t="shared" si="3"/>
        <v>212.54162354522924</v>
      </c>
      <c r="E17">
        <f t="shared" si="4"/>
        <v>106.27081177261462</v>
      </c>
    </row>
    <row r="18" spans="1:5" x14ac:dyDescent="0.25">
      <c r="A18" s="1" t="s">
        <v>59</v>
      </c>
      <c r="B18">
        <v>19.489999999999998</v>
      </c>
      <c r="C18">
        <v>18.98</v>
      </c>
      <c r="D18">
        <f t="shared" si="3"/>
        <v>1162.1385827344668</v>
      </c>
      <c r="E18">
        <f t="shared" si="4"/>
        <v>581.0692913672334</v>
      </c>
    </row>
    <row r="19" spans="1:5" x14ac:dyDescent="0.25">
      <c r="A19" s="1" t="s">
        <v>65</v>
      </c>
      <c r="B19">
        <v>13.51</v>
      </c>
      <c r="C19">
        <v>6.31</v>
      </c>
      <c r="D19">
        <f t="shared" si="3"/>
        <v>267.81480469248805</v>
      </c>
      <c r="E19">
        <f t="shared" si="4"/>
        <v>133.90740234624403</v>
      </c>
    </row>
    <row r="20" spans="1:5" x14ac:dyDescent="0.25">
      <c r="A20" s="1" t="s">
        <v>66</v>
      </c>
      <c r="B20">
        <v>12.67</v>
      </c>
      <c r="C20">
        <v>6.84</v>
      </c>
      <c r="D20">
        <f>PI()*C20*B20</f>
        <v>272.2592158195215</v>
      </c>
      <c r="E20">
        <f>(D20/2)</f>
        <v>136.12960790976075</v>
      </c>
    </row>
  </sheetData>
  <phoneticPr fontId="2" type="noConversion"/>
  <pageMargins left="0.7" right="0.7" top="0.75" bottom="0.75" header="0.3" footer="0.3"/>
  <pageSetup orientation="portrait" horizontalDpi="1200" verticalDpi="1200" r:id="rId1"/>
  <ignoredErrors>
    <ignoredError sqref="K7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6E8F-3442-430D-B75F-407636F0E97C}">
  <dimension ref="A1:P56"/>
  <sheetViews>
    <sheetView workbookViewId="0">
      <pane xSplit="1" topLeftCell="B1" activePane="topRight" state="frozen"/>
      <selection activeCell="A10" sqref="A10"/>
      <selection pane="topRight" activeCell="O11" sqref="O11"/>
    </sheetView>
  </sheetViews>
  <sheetFormatPr defaultRowHeight="15" x14ac:dyDescent="0.25"/>
  <cols>
    <col min="1" max="1" width="23.7109375" customWidth="1"/>
    <col min="2" max="2" width="12.140625" customWidth="1"/>
    <col min="3" max="3" width="11.7109375" customWidth="1"/>
    <col min="4" max="4" width="12.7109375" customWidth="1"/>
    <col min="5" max="5" width="18.28515625" customWidth="1"/>
    <col min="6" max="6" width="10.42578125" customWidth="1"/>
    <col min="7" max="7" width="16.7109375" customWidth="1"/>
    <col min="8" max="9" width="13.42578125" bestFit="1" customWidth="1"/>
    <col min="10" max="10" width="13.28515625" bestFit="1" customWidth="1"/>
    <col min="11" max="11" width="11.28515625" customWidth="1"/>
    <col min="12" max="12" width="11.5703125" customWidth="1"/>
    <col min="13" max="13" width="13.28515625" customWidth="1"/>
    <col min="14" max="14" width="20.85546875" customWidth="1"/>
    <col min="15" max="15" width="13.42578125" customWidth="1"/>
    <col min="16" max="16" width="12.85546875" customWidth="1"/>
  </cols>
  <sheetData>
    <row r="1" spans="1:16" ht="18" x14ac:dyDescent="0.35">
      <c r="A1" t="s">
        <v>55</v>
      </c>
      <c r="B1" t="s">
        <v>88</v>
      </c>
      <c r="C1" t="s">
        <v>87</v>
      </c>
      <c r="D1" t="s">
        <v>89</v>
      </c>
      <c r="E1" t="s">
        <v>90</v>
      </c>
      <c r="F1" t="s">
        <v>20</v>
      </c>
      <c r="G1" t="s">
        <v>101</v>
      </c>
      <c r="H1" t="s">
        <v>95</v>
      </c>
      <c r="I1" t="s">
        <v>96</v>
      </c>
      <c r="J1" t="s">
        <v>84</v>
      </c>
      <c r="O1" s="8"/>
    </row>
    <row r="2" spans="1:16" ht="15.75" x14ac:dyDescent="0.25">
      <c r="A2" s="23" t="s">
        <v>157</v>
      </c>
      <c r="B2">
        <v>2.5499999999999998E-2</v>
      </c>
      <c r="C2">
        <v>4.3400000000000001E-2</v>
      </c>
      <c r="D2">
        <v>3.6900000000000002E-2</v>
      </c>
      <c r="E2">
        <v>7.0000000000000001E-3</v>
      </c>
      <c r="G2" s="9">
        <v>1820000000</v>
      </c>
      <c r="H2">
        <f>((C2)*(B2)^3/48)</f>
        <v>1.4992326562499996E-8</v>
      </c>
      <c r="I2">
        <f>((C2^3)*(B2))/36</f>
        <v>5.7903773666666669E-8</v>
      </c>
      <c r="J2">
        <f>(((C2*B2)/144)*((4*(B2^2)+(3*(C2^2)))))</f>
        <v>6.3417598999999994E-8</v>
      </c>
      <c r="O2" s="24"/>
    </row>
    <row r="3" spans="1:16" x14ac:dyDescent="0.25">
      <c r="A3" s="1" t="s">
        <v>5</v>
      </c>
      <c r="B3">
        <v>2.2599999999999999E-2</v>
      </c>
      <c r="C3">
        <v>2.521E-2</v>
      </c>
      <c r="D3">
        <v>4.7300000000000002E-2</v>
      </c>
      <c r="E3">
        <f>(1.653/100)/2</f>
        <v>8.2649999999999998E-3</v>
      </c>
      <c r="G3" s="9">
        <v>1820000000</v>
      </c>
      <c r="H3">
        <f>((C3)*(B3)^3/48)</f>
        <v>6.0625722283333327E-9</v>
      </c>
      <c r="I3">
        <f>((C3^3)*(B3))/36</f>
        <v>1.0058297466627776E-8</v>
      </c>
      <c r="J3">
        <f>(((C3*B3)/144)*((4*(B3^2)+(3*(C3^2)))))</f>
        <v>1.5627152737748611E-8</v>
      </c>
      <c r="O3" s="9"/>
    </row>
    <row r="4" spans="1:16" x14ac:dyDescent="0.25">
      <c r="A4" s="1" t="s">
        <v>58</v>
      </c>
      <c r="B4">
        <v>2.427E-2</v>
      </c>
      <c r="C4">
        <v>5.2589999999999998E-2</v>
      </c>
      <c r="D4">
        <v>3.5740000000000001E-2</v>
      </c>
      <c r="E4">
        <f>(1.526/2)/100</f>
        <v>7.6300000000000005E-3</v>
      </c>
      <c r="G4" s="9">
        <v>1820000000</v>
      </c>
      <c r="H4">
        <f>((C4)*(B4)^3/48)</f>
        <v>1.5662867081686875E-8</v>
      </c>
      <c r="I4">
        <f>(((C4)^3)*(B4))/36</f>
        <v>9.8056590403342476E-8</v>
      </c>
      <c r="J4">
        <f>(((C4*B4)/144)*((4*(B4^2)+(3*(C4^2)))))</f>
        <v>9.4426265578089355E-8</v>
      </c>
      <c r="O4" s="9"/>
    </row>
    <row r="5" spans="1:16" x14ac:dyDescent="0.25">
      <c r="A5" s="1" t="s">
        <v>59</v>
      </c>
      <c r="B5">
        <v>4.8730000000000002E-2</v>
      </c>
      <c r="C5">
        <v>8.0909999999999996E-2</v>
      </c>
      <c r="D5">
        <v>0.19542000000000001</v>
      </c>
      <c r="E5">
        <f>(1.178/2)/100</f>
        <v>5.8899999999999994E-3</v>
      </c>
      <c r="G5" s="9">
        <v>1820000000</v>
      </c>
      <c r="H5">
        <f t="shared" ref="H5:H6" si="0">((C5)*(B5)^3/48)</f>
        <v>1.9505190575378065E-7</v>
      </c>
      <c r="I5">
        <f t="shared" ref="I5:I6" si="1">(((C5)^3)*(B5))/36</f>
        <v>7.169692243509674E-7</v>
      </c>
      <c r="J5">
        <f t="shared" ref="J5:J6" si="2">(((C5*B5)/144)*((4*(B5^2)+(3*(C5^2)))))</f>
        <v>7.9779612593493309E-7</v>
      </c>
      <c r="O5" s="9"/>
    </row>
    <row r="6" spans="1:16" x14ac:dyDescent="0.25">
      <c r="A6" s="1" t="s">
        <v>65</v>
      </c>
      <c r="B6">
        <v>3.4389999999999997E-2</v>
      </c>
      <c r="C6">
        <v>4.3970000000000002E-2</v>
      </c>
      <c r="D6">
        <v>4.4389999999999999E-2</v>
      </c>
      <c r="E6">
        <f>(1.128/2)/100</f>
        <v>5.6399999999999992E-3</v>
      </c>
      <c r="G6" s="9">
        <v>1820000000</v>
      </c>
      <c r="H6">
        <f t="shared" si="0"/>
        <v>3.7257332333967284E-8</v>
      </c>
      <c r="I6">
        <f t="shared" si="1"/>
        <v>8.1208048083429725E-8</v>
      </c>
      <c r="J6">
        <f t="shared" si="2"/>
        <v>1.1058247917452866E-7</v>
      </c>
      <c r="O6" s="9"/>
    </row>
    <row r="7" spans="1:16" x14ac:dyDescent="0.25">
      <c r="A7" s="7" t="s">
        <v>66</v>
      </c>
      <c r="B7">
        <v>1.5610000000000001E-2</v>
      </c>
      <c r="C7">
        <v>3.108E-2</v>
      </c>
      <c r="D7">
        <v>2.81E-2</v>
      </c>
      <c r="E7">
        <f>(0.959/2)/100</f>
        <v>4.7949999999999998E-3</v>
      </c>
      <c r="F7" t="s">
        <v>86</v>
      </c>
      <c r="G7" s="9">
        <v>1820000000</v>
      </c>
      <c r="H7">
        <f>((C7)*((B7)^3))/3</f>
        <v>3.9406554543160003E-8</v>
      </c>
      <c r="I7">
        <f>((B7)*((C7)^3))/3</f>
        <v>1.5621569982144E-7</v>
      </c>
      <c r="J7">
        <f>(((B7*C7*((B7^2)+(C7^2)))/12))</f>
        <v>4.8905563591150009E-8</v>
      </c>
      <c r="O7" s="9"/>
    </row>
    <row r="8" spans="1:16" ht="56.45" customHeight="1" x14ac:dyDescent="0.25">
      <c r="A8" s="14" t="s">
        <v>113</v>
      </c>
      <c r="B8" s="15" t="s">
        <v>115</v>
      </c>
      <c r="C8" s="15" t="s">
        <v>114</v>
      </c>
      <c r="D8" s="15" t="s">
        <v>116</v>
      </c>
      <c r="E8" s="15" t="s">
        <v>117</v>
      </c>
      <c r="F8" s="15" t="s">
        <v>118</v>
      </c>
      <c r="G8" s="15" t="s">
        <v>119</v>
      </c>
      <c r="H8" s="15" t="s">
        <v>120</v>
      </c>
      <c r="I8" s="15" t="s">
        <v>121</v>
      </c>
      <c r="J8" s="16" t="s">
        <v>122</v>
      </c>
      <c r="K8" s="17" t="s">
        <v>123</v>
      </c>
      <c r="L8" s="18" t="s">
        <v>124</v>
      </c>
      <c r="M8" s="18" t="s">
        <v>125</v>
      </c>
      <c r="N8" s="18" t="s">
        <v>126</v>
      </c>
      <c r="O8" s="20" t="s">
        <v>131</v>
      </c>
      <c r="P8" s="19" t="s">
        <v>132</v>
      </c>
    </row>
    <row r="9" spans="1:16" x14ac:dyDescent="0.25">
      <c r="O9" s="21"/>
    </row>
    <row r="10" spans="1:16" ht="30" x14ac:dyDescent="0.25">
      <c r="A10" s="11" t="s">
        <v>91</v>
      </c>
      <c r="G10" t="s">
        <v>101</v>
      </c>
      <c r="K10" s="10" t="s">
        <v>92</v>
      </c>
      <c r="L10" s="10" t="s">
        <v>93</v>
      </c>
      <c r="M10" s="10" t="s">
        <v>94</v>
      </c>
      <c r="N10" s="10" t="s">
        <v>97</v>
      </c>
      <c r="O10" s="21" t="s">
        <v>128</v>
      </c>
      <c r="P10" t="s">
        <v>129</v>
      </c>
    </row>
    <row r="11" spans="1:16" x14ac:dyDescent="0.25">
      <c r="A11" s="23" t="s">
        <v>157</v>
      </c>
      <c r="G11" s="9">
        <v>1820000000</v>
      </c>
      <c r="K11" s="12">
        <v>5</v>
      </c>
      <c r="L11">
        <f>(K11*PI())/180</f>
        <v>8.7266462599716474E-2</v>
      </c>
      <c r="M11">
        <f>TAN(L11)*D2</f>
        <v>3.2283316841065961E-3</v>
      </c>
      <c r="N11" s="9">
        <f t="shared" ref="N11:N16" si="3">(M11*3*G2*H2)/(D2^3)</f>
        <v>5259.6970005886051</v>
      </c>
      <c r="O11" s="22">
        <f>(N11/200000)*10000</f>
        <v>262.98485002943022</v>
      </c>
      <c r="P11">
        <f>(N11/300000)*10000</f>
        <v>175.32323335295351</v>
      </c>
    </row>
    <row r="12" spans="1:16" x14ac:dyDescent="0.25">
      <c r="A12" s="1" t="s">
        <v>5</v>
      </c>
      <c r="G12" s="9">
        <v>1820000000</v>
      </c>
      <c r="K12" s="12">
        <v>5</v>
      </c>
      <c r="L12">
        <f>(K12*PI())/180</f>
        <v>8.7266462599716474E-2</v>
      </c>
      <c r="M12">
        <f>TAN(L12)*D3</f>
        <v>4.1382137847762058E-3</v>
      </c>
      <c r="N12" s="9">
        <f>(M12*3*G3*H3)/(D3^3)</f>
        <v>1294.431489057303</v>
      </c>
      <c r="O12" s="21">
        <f>(N12/200000)*10000</f>
        <v>64.721574452865156</v>
      </c>
      <c r="P12">
        <f>(N12/300000)*10000</f>
        <v>43.147716301910101</v>
      </c>
    </row>
    <row r="13" spans="1:16" x14ac:dyDescent="0.25">
      <c r="A13" s="1" t="s">
        <v>58</v>
      </c>
      <c r="G13" s="9">
        <v>1820000000</v>
      </c>
      <c r="K13" s="13">
        <v>5</v>
      </c>
      <c r="L13">
        <f>(K13*PI())/180</f>
        <v>8.7266462599716474E-2</v>
      </c>
      <c r="M13">
        <f t="shared" ref="M11:M16" si="4">TAN(L13)*D4</f>
        <v>3.1268448344165239E-3</v>
      </c>
      <c r="N13" s="9">
        <f t="shared" si="3"/>
        <v>5857.4230393253329</v>
      </c>
      <c r="O13" s="21">
        <f t="shared" ref="O13:O15" si="5">(N13/200000)*10000</f>
        <v>292.87115196626667</v>
      </c>
      <c r="P13">
        <f t="shared" ref="P13:P15" si="6">(N13/300000)*10000</f>
        <v>195.24743464417776</v>
      </c>
    </row>
    <row r="14" spans="1:16" x14ac:dyDescent="0.25">
      <c r="A14" s="1" t="s">
        <v>59</v>
      </c>
      <c r="C14" s="10"/>
      <c r="D14" s="10"/>
      <c r="G14" s="9">
        <v>1820000000</v>
      </c>
      <c r="K14" s="13">
        <v>5</v>
      </c>
      <c r="L14">
        <f t="shared" ref="L14:L16" si="7">(K14*PI())/180</f>
        <v>8.7266462599716474E-2</v>
      </c>
      <c r="M14">
        <f t="shared" si="4"/>
        <v>1.709703462623607E-2</v>
      </c>
      <c r="N14" s="9">
        <f t="shared" si="3"/>
        <v>2439.8133597815372</v>
      </c>
      <c r="O14" s="21">
        <f t="shared" si="5"/>
        <v>121.99066798907687</v>
      </c>
      <c r="P14">
        <f t="shared" si="6"/>
        <v>81.327111992717903</v>
      </c>
    </row>
    <row r="15" spans="1:16" x14ac:dyDescent="0.25">
      <c r="A15" s="1" t="s">
        <v>65</v>
      </c>
      <c r="D15" s="9"/>
      <c r="G15" s="9">
        <v>1820000000</v>
      </c>
      <c r="K15" s="13">
        <v>5</v>
      </c>
      <c r="L15">
        <f t="shared" si="7"/>
        <v>8.7266462599716474E-2</v>
      </c>
      <c r="M15">
        <f t="shared" si="4"/>
        <v>3.8836217739157664E-3</v>
      </c>
      <c r="N15" s="9">
        <f t="shared" si="3"/>
        <v>9032.040798711314</v>
      </c>
      <c r="O15" s="21">
        <f t="shared" si="5"/>
        <v>451.60203993556576</v>
      </c>
      <c r="P15">
        <f t="shared" si="6"/>
        <v>301.06802662371047</v>
      </c>
    </row>
    <row r="16" spans="1:16" x14ac:dyDescent="0.25">
      <c r="A16" s="7" t="s">
        <v>66</v>
      </c>
      <c r="D16" s="9"/>
      <c r="G16" s="9">
        <v>1820000000</v>
      </c>
      <c r="K16" s="13">
        <v>5</v>
      </c>
      <c r="L16">
        <f t="shared" si="7"/>
        <v>8.7266462599716474E-2</v>
      </c>
      <c r="M16">
        <f t="shared" si="4"/>
        <v>2.4584314450784646E-3</v>
      </c>
      <c r="N16" s="9">
        <f t="shared" si="3"/>
        <v>23839.670571089569</v>
      </c>
      <c r="O16" s="22">
        <f>(N16/200000)*10000</f>
        <v>1191.9835285544784</v>
      </c>
      <c r="P16">
        <f>(N16/300000)*10000</f>
        <v>794.65568570298558</v>
      </c>
    </row>
    <row r="17" spans="1:16" x14ac:dyDescent="0.25">
      <c r="A17" s="1"/>
      <c r="D17" s="9"/>
      <c r="O17" s="21"/>
    </row>
    <row r="18" spans="1:16" ht="30" x14ac:dyDescent="0.25">
      <c r="A18" s="11" t="s">
        <v>99</v>
      </c>
      <c r="D18" s="9"/>
      <c r="G18" t="s">
        <v>102</v>
      </c>
      <c r="K18" s="10" t="s">
        <v>92</v>
      </c>
      <c r="L18" s="10" t="s">
        <v>93</v>
      </c>
      <c r="M18" s="10" t="s">
        <v>94</v>
      </c>
      <c r="N18" s="10" t="s">
        <v>98</v>
      </c>
      <c r="O18" s="21"/>
    </row>
    <row r="19" spans="1:16" x14ac:dyDescent="0.25">
      <c r="A19" s="23" t="s">
        <v>157</v>
      </c>
      <c r="D19" s="9"/>
      <c r="G19">
        <v>1348609700</v>
      </c>
      <c r="K19" s="12">
        <v>3</v>
      </c>
      <c r="L19">
        <f>(K19*PI())/180</f>
        <v>5.2359877559829883E-2</v>
      </c>
      <c r="M19">
        <f t="shared" ref="M19:M24" si="8">TAN(L19)*D2</f>
        <v>1.9338470555442203E-3</v>
      </c>
      <c r="N19" s="9">
        <f t="shared" ref="N19:N24" si="9">(M19*3*G19*I2)/(D2^3)</f>
        <v>9016.9036083097762</v>
      </c>
      <c r="O19" s="21">
        <f>(N19/200000)*10000</f>
        <v>450.84518041548881</v>
      </c>
      <c r="P19">
        <f>(N19/300000)*10000</f>
        <v>300.56345361032589</v>
      </c>
    </row>
    <row r="20" spans="1:16" x14ac:dyDescent="0.25">
      <c r="A20" s="1" t="s">
        <v>5</v>
      </c>
      <c r="G20">
        <v>1348609700</v>
      </c>
      <c r="K20" s="12">
        <v>10</v>
      </c>
      <c r="L20">
        <f>(K20*PI())/180</f>
        <v>0.17453292519943295</v>
      </c>
      <c r="M20">
        <f>TAN(L20)*D3</f>
        <v>8.3402661875103933E-3</v>
      </c>
      <c r="N20" s="9">
        <f>(M20*3*G20*I3)/(D3^3)</f>
        <v>3207.2181336100857</v>
      </c>
      <c r="O20" s="21">
        <f>(N20/200000)*10000</f>
        <v>160.36090668050426</v>
      </c>
      <c r="P20">
        <f>(N20/300000)*10000</f>
        <v>106.90727112033619</v>
      </c>
    </row>
    <row r="21" spans="1:16" x14ac:dyDescent="0.25">
      <c r="A21" s="1" t="s">
        <v>58</v>
      </c>
      <c r="G21">
        <v>1348609700</v>
      </c>
      <c r="K21" s="13">
        <v>0.6</v>
      </c>
      <c r="L21">
        <f>(K21*PI())/180</f>
        <v>1.0471975511965976E-2</v>
      </c>
      <c r="M21">
        <f t="shared" si="8"/>
        <v>3.7428208643890153E-4</v>
      </c>
      <c r="N21" s="9">
        <f>(M21*3*G21*I4)/(D4^3)</f>
        <v>3252.5180775845274</v>
      </c>
      <c r="O21" s="21">
        <f t="shared" ref="O21:O23" si="10">(N21/200000)*10000</f>
        <v>162.62590387922634</v>
      </c>
      <c r="P21">
        <f t="shared" ref="P21:P23" si="11">(N21/300000)*10000</f>
        <v>108.41726925281759</v>
      </c>
    </row>
    <row r="22" spans="1:16" x14ac:dyDescent="0.25">
      <c r="A22" s="1" t="s">
        <v>59</v>
      </c>
      <c r="G22">
        <v>1348609700</v>
      </c>
      <c r="K22" s="13">
        <v>12</v>
      </c>
      <c r="L22">
        <f t="shared" ref="L22:L24" si="12">(K22*PI())/180</f>
        <v>0.20943951023931953</v>
      </c>
      <c r="M22">
        <f t="shared" si="8"/>
        <v>4.1537803281555721E-2</v>
      </c>
      <c r="N22" s="9">
        <f t="shared" si="9"/>
        <v>16145.241526974203</v>
      </c>
      <c r="O22" s="21">
        <f t="shared" si="10"/>
        <v>807.26207634871014</v>
      </c>
      <c r="P22">
        <f t="shared" si="11"/>
        <v>538.17471756580676</v>
      </c>
    </row>
    <row r="23" spans="1:16" x14ac:dyDescent="0.25">
      <c r="A23" s="1" t="s">
        <v>65</v>
      </c>
      <c r="G23">
        <v>1348609700</v>
      </c>
      <c r="K23" s="13">
        <v>1.4</v>
      </c>
      <c r="L23">
        <f t="shared" si="12"/>
        <v>2.4434609527920613E-2</v>
      </c>
      <c r="M23">
        <f t="shared" si="8"/>
        <v>1.0848682324497295E-3</v>
      </c>
      <c r="N23" s="9">
        <f t="shared" si="9"/>
        <v>4075.0051581830635</v>
      </c>
      <c r="O23" s="21">
        <f t="shared" si="10"/>
        <v>203.75025790915316</v>
      </c>
      <c r="P23">
        <f t="shared" si="11"/>
        <v>135.83350527276878</v>
      </c>
    </row>
    <row r="24" spans="1:16" x14ac:dyDescent="0.25">
      <c r="A24" s="7" t="s">
        <v>66</v>
      </c>
      <c r="G24">
        <v>1348609700</v>
      </c>
      <c r="K24" s="13">
        <v>0.25</v>
      </c>
      <c r="L24">
        <f t="shared" si="12"/>
        <v>4.3633231299858239E-3</v>
      </c>
      <c r="M24">
        <f t="shared" si="8"/>
        <v>1.2261015806171402E-4</v>
      </c>
      <c r="N24" s="9">
        <f t="shared" si="9"/>
        <v>3492.5264599708362</v>
      </c>
      <c r="O24" s="22">
        <f>(N24/200000)*10000</f>
        <v>174.62632299854181</v>
      </c>
      <c r="P24" s="9">
        <f>(N24/300000)*10000</f>
        <v>116.41754866569454</v>
      </c>
    </row>
    <row r="25" spans="1:16" x14ac:dyDescent="0.25">
      <c r="O25" s="21"/>
    </row>
    <row r="26" spans="1:16" x14ac:dyDescent="0.25">
      <c r="A26" s="11" t="s">
        <v>100</v>
      </c>
      <c r="G26" t="s">
        <v>103</v>
      </c>
      <c r="K26" t="s">
        <v>92</v>
      </c>
      <c r="L26" t="s">
        <v>93</v>
      </c>
      <c r="N26" t="s">
        <v>104</v>
      </c>
      <c r="O26" s="21"/>
    </row>
    <row r="27" spans="1:16" x14ac:dyDescent="0.25">
      <c r="A27" s="23" t="s">
        <v>157</v>
      </c>
      <c r="G27">
        <v>2095632987.9000001</v>
      </c>
      <c r="K27" s="13">
        <v>5</v>
      </c>
      <c r="L27">
        <f>(K27*PI())/180</f>
        <v>8.7266462599716474E-2</v>
      </c>
      <c r="N27">
        <f>((G27*J2*L27)/D2)</f>
        <v>314.30119155547453</v>
      </c>
      <c r="O27" s="21">
        <f>(N27/200000)*10000</f>
        <v>15.715059577773726</v>
      </c>
      <c r="P27">
        <f>(N27/300000)*10000</f>
        <v>10.476706385182483</v>
      </c>
    </row>
    <row r="28" spans="1:16" x14ac:dyDescent="0.25">
      <c r="A28" s="1" t="s">
        <v>5</v>
      </c>
      <c r="G28">
        <v>2095632987.9000001</v>
      </c>
      <c r="K28" s="13">
        <v>5</v>
      </c>
      <c r="L28">
        <f>(K28*PI())/180</f>
        <v>8.7266462599716474E-2</v>
      </c>
      <c r="N28">
        <f t="shared" ref="N27:N32" si="13">((G28*J3*L28)/D3)</f>
        <v>60.420082545938982</v>
      </c>
      <c r="O28" s="21">
        <f>(N28/200000)*10000</f>
        <v>3.021004127296949</v>
      </c>
      <c r="P28">
        <f>(N28/300000)*10000</f>
        <v>2.0140027515312995</v>
      </c>
    </row>
    <row r="29" spans="1:16" x14ac:dyDescent="0.25">
      <c r="A29" s="1" t="s">
        <v>58</v>
      </c>
      <c r="G29">
        <v>2095632987.9000001</v>
      </c>
      <c r="K29" s="13">
        <v>5</v>
      </c>
      <c r="L29">
        <f t="shared" ref="L29:L32" si="14">(K29*PI())/180</f>
        <v>8.7266462599716474E-2</v>
      </c>
      <c r="N29">
        <f>((G29*J4*L29)/D4)</f>
        <v>483.17100474554917</v>
      </c>
      <c r="O29" s="21">
        <f t="shared" ref="O29:O32" si="15">(N29/200000)*10000</f>
        <v>24.158550237277456</v>
      </c>
      <c r="P29">
        <f t="shared" ref="P29:P32" si="16">(N29/300000)*10000</f>
        <v>16.105700158184973</v>
      </c>
    </row>
    <row r="30" spans="1:16" x14ac:dyDescent="0.25">
      <c r="A30" s="1" t="s">
        <v>59</v>
      </c>
      <c r="G30">
        <v>2095632987.9000001</v>
      </c>
      <c r="K30" s="13">
        <v>5</v>
      </c>
      <c r="L30">
        <f t="shared" si="14"/>
        <v>8.7266462599716474E-2</v>
      </c>
      <c r="N30">
        <f t="shared" si="13"/>
        <v>746.59574800352516</v>
      </c>
      <c r="O30" s="21">
        <f t="shared" si="15"/>
        <v>37.329787400176258</v>
      </c>
      <c r="P30">
        <f t="shared" si="16"/>
        <v>24.88652493345084</v>
      </c>
    </row>
    <row r="31" spans="1:16" x14ac:dyDescent="0.25">
      <c r="A31" s="1" t="s">
        <v>65</v>
      </c>
      <c r="G31">
        <v>2095632987.9000001</v>
      </c>
      <c r="K31" s="13">
        <v>5</v>
      </c>
      <c r="L31">
        <f t="shared" si="14"/>
        <v>8.7266462599716474E-2</v>
      </c>
      <c r="N31">
        <f t="shared" si="13"/>
        <v>455.57908219214426</v>
      </c>
      <c r="O31" s="21">
        <f t="shared" si="15"/>
        <v>22.778954109607213</v>
      </c>
      <c r="P31">
        <f t="shared" si="16"/>
        <v>15.185969406404807</v>
      </c>
    </row>
    <row r="32" spans="1:16" x14ac:dyDescent="0.25">
      <c r="A32" s="7" t="s">
        <v>66</v>
      </c>
      <c r="G32">
        <v>2095632987.9000001</v>
      </c>
      <c r="K32" s="13">
        <v>5</v>
      </c>
      <c r="L32">
        <f t="shared" si="14"/>
        <v>8.7266462599716474E-2</v>
      </c>
      <c r="N32">
        <f t="shared" si="13"/>
        <v>318.28380866933571</v>
      </c>
      <c r="O32" s="21">
        <f t="shared" si="15"/>
        <v>15.914190433466786</v>
      </c>
      <c r="P32">
        <f t="shared" si="16"/>
        <v>10.609460288977857</v>
      </c>
    </row>
    <row r="33" spans="1:16" x14ac:dyDescent="0.25">
      <c r="O33" s="21"/>
    </row>
    <row r="34" spans="1:16" ht="30" x14ac:dyDescent="0.25">
      <c r="A34" s="11" t="s">
        <v>105</v>
      </c>
      <c r="E34" t="s">
        <v>90</v>
      </c>
      <c r="G34" t="s">
        <v>108</v>
      </c>
      <c r="H34" t="s">
        <v>111</v>
      </c>
      <c r="K34" s="10" t="s">
        <v>92</v>
      </c>
      <c r="L34" s="10" t="s">
        <v>93</v>
      </c>
      <c r="M34" s="10" t="s">
        <v>94</v>
      </c>
      <c r="N34" s="10" t="s">
        <v>97</v>
      </c>
      <c r="O34" s="21"/>
    </row>
    <row r="35" spans="1:16" x14ac:dyDescent="0.25">
      <c r="A35" s="23" t="s">
        <v>157</v>
      </c>
      <c r="E35">
        <v>7.0000000000000001E-3</v>
      </c>
      <c r="G35">
        <v>524854200</v>
      </c>
      <c r="H35">
        <f>(PI()*(E35^4))/4</f>
        <v>1.885740990317274E-9</v>
      </c>
      <c r="K35" s="12">
        <v>76.5</v>
      </c>
      <c r="L35">
        <f>(K35*PI())/180</f>
        <v>1.3351768777756621</v>
      </c>
      <c r="M35">
        <f t="shared" ref="M35:M40" si="17">TAN(L35)*D2</f>
        <v>0.15369956151633637</v>
      </c>
      <c r="N35" s="9">
        <f>(M35*3*G35*H35)/(D2^3)</f>
        <v>9083.1294373038909</v>
      </c>
      <c r="O35" s="21">
        <f>(N35/200000)*10000</f>
        <v>454.15647186519453</v>
      </c>
      <c r="P35">
        <f>(N35/300000)*10000</f>
        <v>302.77098124346304</v>
      </c>
    </row>
    <row r="36" spans="1:16" x14ac:dyDescent="0.25">
      <c r="A36" s="1" t="s">
        <v>5</v>
      </c>
      <c r="E36">
        <f>(1.653/100)/2</f>
        <v>8.2649999999999998E-3</v>
      </c>
      <c r="G36">
        <v>524854200</v>
      </c>
      <c r="H36">
        <f>(PI()*(E36^4))/4</f>
        <v>3.6648931136687439E-9</v>
      </c>
      <c r="K36" s="12">
        <v>51</v>
      </c>
      <c r="L36">
        <f>(K36*PI())/180</f>
        <v>0.89011791851710798</v>
      </c>
      <c r="M36">
        <f t="shared" si="17"/>
        <v>5.8410635504107918E-2</v>
      </c>
      <c r="N36" s="9">
        <f>(M36*3*G36*H36)/(D3^3)</f>
        <v>3185.1490034401445</v>
      </c>
      <c r="O36" s="21">
        <f>(N36/200000)*10000</f>
        <v>159.25745017200722</v>
      </c>
      <c r="P36">
        <f>(N36/300000)*10000</f>
        <v>106.17163344800483</v>
      </c>
    </row>
    <row r="37" spans="1:16" x14ac:dyDescent="0.25">
      <c r="A37" s="1" t="s">
        <v>58</v>
      </c>
      <c r="E37">
        <f>(1.526/2)/100</f>
        <v>7.6300000000000005E-3</v>
      </c>
      <c r="G37">
        <v>524854200</v>
      </c>
      <c r="H37">
        <f t="shared" ref="H37:H48" si="18">(PI()*(E37^4))/4</f>
        <v>2.6618773031550516E-9</v>
      </c>
      <c r="K37" s="13">
        <v>44</v>
      </c>
      <c r="L37">
        <f>(K37*PI())/180</f>
        <v>0.76794487087750496</v>
      </c>
      <c r="M37">
        <f t="shared" si="17"/>
        <v>3.4513716811604825E-2</v>
      </c>
      <c r="N37" s="9">
        <f t="shared" ref="N35:N40" si="19">(M37*3*G37*H37)/(D4^3)</f>
        <v>3168.6629922245306</v>
      </c>
      <c r="O37" s="21">
        <f t="shared" ref="O37:O40" si="20">(N37/200000)*10000</f>
        <v>158.43314961122655</v>
      </c>
      <c r="P37">
        <f t="shared" ref="P37:P40" si="21">(N37/300000)*10000</f>
        <v>105.6220997408177</v>
      </c>
    </row>
    <row r="38" spans="1:16" x14ac:dyDescent="0.25">
      <c r="A38" s="1" t="s">
        <v>59</v>
      </c>
      <c r="C38" s="10"/>
      <c r="D38" s="10"/>
      <c r="E38">
        <f>(1.178/2)/100</f>
        <v>5.8899999999999994E-3</v>
      </c>
      <c r="G38">
        <v>524854200</v>
      </c>
      <c r="H38">
        <f t="shared" si="18"/>
        <v>9.4525952118486823E-10</v>
      </c>
      <c r="K38" s="13">
        <v>80</v>
      </c>
      <c r="L38">
        <f t="shared" ref="L38:L40" si="22">(K38*PI())/180</f>
        <v>1.3962634015954636</v>
      </c>
      <c r="M38">
        <f t="shared" si="17"/>
        <v>1.1082818931896923</v>
      </c>
      <c r="N38" s="9">
        <f t="shared" si="19"/>
        <v>221.03151638436898</v>
      </c>
      <c r="O38" s="22">
        <f>(N38/200000)*10000</f>
        <v>11.051575819218449</v>
      </c>
      <c r="P38" s="9">
        <f>(N38/300000)*10000</f>
        <v>7.3677172128122992</v>
      </c>
    </row>
    <row r="39" spans="1:16" x14ac:dyDescent="0.25">
      <c r="A39" s="1" t="s">
        <v>65</v>
      </c>
      <c r="D39" s="9"/>
      <c r="E39">
        <f>(1.128/2)/100</f>
        <v>5.6399999999999992E-3</v>
      </c>
      <c r="G39">
        <v>524854200</v>
      </c>
      <c r="H39">
        <f t="shared" si="18"/>
        <v>7.9470564383897361E-10</v>
      </c>
      <c r="K39" s="13">
        <v>81</v>
      </c>
      <c r="L39">
        <f t="shared" si="22"/>
        <v>1.4137166941154069</v>
      </c>
      <c r="M39">
        <f t="shared" si="17"/>
        <v>0.28026742973642504</v>
      </c>
      <c r="N39" s="9">
        <f t="shared" si="19"/>
        <v>4009.4372836340426</v>
      </c>
      <c r="O39" s="21">
        <f t="shared" si="20"/>
        <v>200.47186418170213</v>
      </c>
      <c r="P39">
        <f t="shared" si="21"/>
        <v>133.64790945446808</v>
      </c>
    </row>
    <row r="40" spans="1:16" x14ac:dyDescent="0.25">
      <c r="A40" s="7" t="s">
        <v>66</v>
      </c>
      <c r="D40" s="9"/>
      <c r="E40">
        <f>(0.959/2)/100</f>
        <v>4.7949999999999998E-3</v>
      </c>
      <c r="G40">
        <v>524854200</v>
      </c>
      <c r="H40">
        <f>(PI()*(E40^4))/4</f>
        <v>4.1518755507282173E-10</v>
      </c>
      <c r="K40" s="13">
        <v>78.5</v>
      </c>
      <c r="L40">
        <f t="shared" si="22"/>
        <v>1.3700834628155485</v>
      </c>
      <c r="M40">
        <f t="shared" si="17"/>
        <v>0.13811591257310071</v>
      </c>
      <c r="N40" s="9">
        <f t="shared" si="19"/>
        <v>4069.3872172866545</v>
      </c>
      <c r="O40" s="21">
        <f t="shared" si="20"/>
        <v>203.46936086433274</v>
      </c>
      <c r="P40">
        <f t="shared" si="21"/>
        <v>135.64624057622183</v>
      </c>
    </row>
    <row r="41" spans="1:16" x14ac:dyDescent="0.25">
      <c r="D41" s="9"/>
      <c r="O41" s="21"/>
    </row>
    <row r="42" spans="1:16" ht="30" x14ac:dyDescent="0.25">
      <c r="A42" s="11" t="s">
        <v>106</v>
      </c>
      <c r="D42" s="9"/>
      <c r="E42" t="s">
        <v>90</v>
      </c>
      <c r="G42" t="s">
        <v>109</v>
      </c>
      <c r="H42" t="s">
        <v>112</v>
      </c>
      <c r="K42" s="10" t="s">
        <v>92</v>
      </c>
      <c r="L42" s="10" t="s">
        <v>93</v>
      </c>
      <c r="M42" s="10" t="s">
        <v>94</v>
      </c>
      <c r="N42" s="10" t="s">
        <v>98</v>
      </c>
      <c r="O42" s="21"/>
    </row>
    <row r="43" spans="1:16" x14ac:dyDescent="0.25">
      <c r="A43" s="23" t="s">
        <v>157</v>
      </c>
      <c r="D43" s="9"/>
      <c r="E43">
        <v>7.0000000000000001E-3</v>
      </c>
      <c r="G43">
        <v>1067030100</v>
      </c>
      <c r="H43">
        <f t="shared" si="18"/>
        <v>1.885740990317274E-9</v>
      </c>
      <c r="K43" s="12">
        <v>64</v>
      </c>
      <c r="L43">
        <f>(K43*PI())/180</f>
        <v>1.1170107212763709</v>
      </c>
      <c r="M43">
        <f>TAN(L43)*D2</f>
        <v>7.5656211754276032E-2</v>
      </c>
      <c r="N43" s="9">
        <f t="shared" ref="N43:N48" si="23">(M43*3*G43*H43)/(D2^3)</f>
        <v>9089.6143991497865</v>
      </c>
      <c r="O43" s="21">
        <f>(N43/200000)*10000</f>
        <v>454.48071995748933</v>
      </c>
      <c r="P43">
        <f>(N43/300000)*10000</f>
        <v>302.98714663832624</v>
      </c>
    </row>
    <row r="44" spans="1:16" x14ac:dyDescent="0.25">
      <c r="A44" s="1" t="s">
        <v>5</v>
      </c>
      <c r="E44">
        <f>(1.653/100)/2</f>
        <v>8.2649999999999998E-3</v>
      </c>
      <c r="G44">
        <v>1067030100</v>
      </c>
      <c r="H44">
        <f t="shared" si="18"/>
        <v>3.6648931136687439E-9</v>
      </c>
      <c r="K44" s="12">
        <v>31</v>
      </c>
      <c r="L44">
        <f>(K44*PI())/180</f>
        <v>0.54105206811824214</v>
      </c>
      <c r="M44">
        <f t="shared" ref="M43:M48" si="24">TAN(L44)*D3</f>
        <v>2.8420707280003607E-2</v>
      </c>
      <c r="N44" s="9">
        <f t="shared" si="23"/>
        <v>3150.7264424832183</v>
      </c>
      <c r="O44" s="21">
        <f>(N44/200000)*10000</f>
        <v>157.5363221241609</v>
      </c>
      <c r="P44">
        <f>(N44/300000)*10000</f>
        <v>105.02421474944062</v>
      </c>
    </row>
    <row r="45" spans="1:16" x14ac:dyDescent="0.25">
      <c r="A45" s="1" t="s">
        <v>58</v>
      </c>
      <c r="E45">
        <f>(1.526/2)/100</f>
        <v>7.6300000000000005E-3</v>
      </c>
      <c r="G45">
        <v>1067030100</v>
      </c>
      <c r="H45">
        <f t="shared" si="18"/>
        <v>2.6618773031550516E-9</v>
      </c>
      <c r="K45" s="13">
        <v>25</v>
      </c>
      <c r="L45">
        <f>(K45*PI())/180</f>
        <v>0.43633231299858238</v>
      </c>
      <c r="M45">
        <f t="shared" si="24"/>
        <v>1.666583570245965E-2</v>
      </c>
      <c r="N45" s="9">
        <f t="shared" si="23"/>
        <v>3110.6375491555</v>
      </c>
      <c r="O45" s="21">
        <f t="shared" ref="O45:O48" si="25">(N45/200000)*10000</f>
        <v>155.53187745777501</v>
      </c>
      <c r="P45">
        <f t="shared" ref="P45:P48" si="26">(N45/300000)*10000</f>
        <v>103.68791830518333</v>
      </c>
    </row>
    <row r="46" spans="1:16" x14ac:dyDescent="0.25">
      <c r="A46" s="1" t="s">
        <v>59</v>
      </c>
      <c r="E46">
        <f>(1.178/2)/100</f>
        <v>5.8899999999999994E-3</v>
      </c>
      <c r="G46">
        <v>1067030100</v>
      </c>
      <c r="H46">
        <f>(PI()*(E46^4))/4</f>
        <v>9.4525952118486823E-10</v>
      </c>
      <c r="K46" s="13">
        <v>80</v>
      </c>
      <c r="L46">
        <f t="shared" ref="L46:L48" si="27">(K46*PI())/180</f>
        <v>1.3962634015954636</v>
      </c>
      <c r="M46">
        <f t="shared" si="24"/>
        <v>1.1082818931896923</v>
      </c>
      <c r="N46" s="9">
        <f t="shared" si="23"/>
        <v>449.35770930434558</v>
      </c>
      <c r="O46" s="21">
        <f t="shared" si="25"/>
        <v>22.467885465217279</v>
      </c>
      <c r="P46">
        <f t="shared" si="26"/>
        <v>14.978590310144853</v>
      </c>
    </row>
    <row r="47" spans="1:16" x14ac:dyDescent="0.25">
      <c r="A47" s="1" t="s">
        <v>65</v>
      </c>
      <c r="E47">
        <f>(1.128/2)/100</f>
        <v>5.6399999999999992E-3</v>
      </c>
      <c r="G47">
        <v>1067030100</v>
      </c>
      <c r="H47">
        <f t="shared" si="18"/>
        <v>7.9470564383897361E-10</v>
      </c>
      <c r="K47" s="13">
        <v>72</v>
      </c>
      <c r="L47">
        <f t="shared" si="27"/>
        <v>1.2566370614359172</v>
      </c>
      <c r="M47">
        <f t="shared" si="24"/>
        <v>0.13661837221520945</v>
      </c>
      <c r="N47" s="9">
        <f t="shared" si="23"/>
        <v>3973.3598050815904</v>
      </c>
      <c r="O47" s="21">
        <f t="shared" si="25"/>
        <v>198.66799025407951</v>
      </c>
      <c r="P47">
        <f t="shared" si="26"/>
        <v>132.445326836053</v>
      </c>
    </row>
    <row r="48" spans="1:16" x14ac:dyDescent="0.25">
      <c r="A48" s="7" t="s">
        <v>66</v>
      </c>
      <c r="E48">
        <f>(0.959/2)/100</f>
        <v>4.7949999999999998E-3</v>
      </c>
      <c r="G48">
        <v>1067030100</v>
      </c>
      <c r="H48">
        <f t="shared" si="18"/>
        <v>4.1518755507282173E-10</v>
      </c>
      <c r="K48" s="13">
        <v>67.5</v>
      </c>
      <c r="L48">
        <f t="shared" si="27"/>
        <v>1.1780972450961724</v>
      </c>
      <c r="M48">
        <f t="shared" si="24"/>
        <v>6.7839401102683966E-2</v>
      </c>
      <c r="N48" s="9">
        <f t="shared" si="23"/>
        <v>4063.5471032449582</v>
      </c>
      <c r="O48" s="21">
        <f t="shared" si="25"/>
        <v>203.17735516224792</v>
      </c>
      <c r="P48">
        <f t="shared" si="26"/>
        <v>135.45157010816527</v>
      </c>
    </row>
    <row r="49" spans="1:16" x14ac:dyDescent="0.25">
      <c r="O49" s="21"/>
    </row>
    <row r="50" spans="1:16" x14ac:dyDescent="0.25">
      <c r="A50" s="11" t="s">
        <v>107</v>
      </c>
      <c r="E50" t="s">
        <v>130</v>
      </c>
      <c r="G50" t="s">
        <v>110</v>
      </c>
      <c r="J50" t="s">
        <v>84</v>
      </c>
      <c r="K50" t="s">
        <v>92</v>
      </c>
      <c r="L50" t="s">
        <v>93</v>
      </c>
      <c r="N50" t="s">
        <v>104</v>
      </c>
      <c r="O50" s="21"/>
    </row>
    <row r="51" spans="1:16" x14ac:dyDescent="0.25">
      <c r="A51" s="23" t="s">
        <v>157</v>
      </c>
      <c r="E51">
        <v>1.4E-2</v>
      </c>
      <c r="G51">
        <v>244295.6</v>
      </c>
      <c r="J51">
        <f>(PI()*((2*E51)^4))/32</f>
        <v>6.0343711690152769E-8</v>
      </c>
      <c r="K51" s="13">
        <v>5</v>
      </c>
      <c r="L51">
        <f>(K51*PI())/180</f>
        <v>8.7266462599716474E-2</v>
      </c>
      <c r="N51">
        <f t="shared" ref="N51:N56" si="28">((G51*J51*L51)/D2)</f>
        <v>3.4863314244824847E-2</v>
      </c>
      <c r="O51" s="21">
        <f>(N51/200000)*10000</f>
        <v>1.7431657122412424E-3</v>
      </c>
      <c r="P51">
        <f>(N51/300000)*10000</f>
        <v>1.1621104748274949E-3</v>
      </c>
    </row>
    <row r="52" spans="1:16" x14ac:dyDescent="0.25">
      <c r="A52" s="1" t="s">
        <v>5</v>
      </c>
      <c r="E52">
        <f>(1.653/100)</f>
        <v>1.653E-2</v>
      </c>
      <c r="G52">
        <v>244295.6</v>
      </c>
      <c r="J52">
        <f>(PI()*((2*E52)^4))/32</f>
        <v>1.172765796373998E-7</v>
      </c>
      <c r="K52" s="13">
        <v>5</v>
      </c>
      <c r="L52">
        <f>(K52*PI())/180</f>
        <v>8.7266462599716474E-2</v>
      </c>
      <c r="N52">
        <f t="shared" si="28"/>
        <v>5.2858297080005869E-2</v>
      </c>
      <c r="O52" s="21">
        <f>(N52/200000)*10000</f>
        <v>2.6429148540002933E-3</v>
      </c>
      <c r="P52">
        <f>(N52/300000)*10000</f>
        <v>1.7619432360001957E-3</v>
      </c>
    </row>
    <row r="53" spans="1:16" x14ac:dyDescent="0.25">
      <c r="A53" s="1" t="s">
        <v>58</v>
      </c>
      <c r="E53">
        <f>(1.526)/100</f>
        <v>1.5260000000000001E-2</v>
      </c>
      <c r="G53">
        <v>244295.6</v>
      </c>
      <c r="J53">
        <f t="shared" ref="J53:J56" si="29">(PI()*((2*E53)^4))/32</f>
        <v>8.5180073700961651E-8</v>
      </c>
      <c r="K53" s="13">
        <v>5</v>
      </c>
      <c r="L53">
        <f t="shared" ref="L53:L56" si="30">(K53*PI())/180</f>
        <v>8.7266462599716474E-2</v>
      </c>
      <c r="N53">
        <f t="shared" si="28"/>
        <v>5.0809682400272227E-2</v>
      </c>
      <c r="O53" s="21">
        <f t="shared" ref="O53:O56" si="31">(N53/200000)*10000</f>
        <v>2.540484120013611E-3</v>
      </c>
      <c r="P53">
        <f t="shared" ref="P53:P56" si="32">(N53/300000)*10000</f>
        <v>1.6936560800090742E-3</v>
      </c>
    </row>
    <row r="54" spans="1:16" x14ac:dyDescent="0.25">
      <c r="A54" s="1" t="s">
        <v>59</v>
      </c>
      <c r="E54">
        <f>(1.178)/100</f>
        <v>1.1779999999999999E-2</v>
      </c>
      <c r="G54">
        <v>244295.6</v>
      </c>
      <c r="J54">
        <f t="shared" si="29"/>
        <v>3.0248304677915783E-8</v>
      </c>
      <c r="K54" s="13">
        <v>5</v>
      </c>
      <c r="L54">
        <f t="shared" si="30"/>
        <v>8.7266462599716474E-2</v>
      </c>
      <c r="N54">
        <f t="shared" si="28"/>
        <v>3.299856443435726E-3</v>
      </c>
      <c r="O54" s="21">
        <f t="shared" si="31"/>
        <v>1.6499282217178631E-4</v>
      </c>
      <c r="P54">
        <f t="shared" si="32"/>
        <v>1.0999521478119086E-4</v>
      </c>
    </row>
    <row r="55" spans="1:16" x14ac:dyDescent="0.25">
      <c r="A55" s="1" t="s">
        <v>65</v>
      </c>
      <c r="E55">
        <f>(1.128/100)</f>
        <v>1.1279999999999998E-2</v>
      </c>
      <c r="G55">
        <v>244295.6</v>
      </c>
      <c r="J55">
        <f t="shared" si="29"/>
        <v>2.5430580602847156E-8</v>
      </c>
      <c r="K55" s="13">
        <v>5</v>
      </c>
      <c r="L55">
        <f t="shared" si="30"/>
        <v>8.7266462599716474E-2</v>
      </c>
      <c r="N55">
        <f t="shared" si="28"/>
        <v>1.2213331567961391E-2</v>
      </c>
      <c r="O55" s="21">
        <f t="shared" si="31"/>
        <v>6.1066657839806951E-4</v>
      </c>
      <c r="P55">
        <f t="shared" si="32"/>
        <v>4.0711105226537967E-4</v>
      </c>
    </row>
    <row r="56" spans="1:16" x14ac:dyDescent="0.25">
      <c r="A56" s="7" t="s">
        <v>66</v>
      </c>
      <c r="E56">
        <f>(0.959/100)</f>
        <v>9.5899999999999996E-3</v>
      </c>
      <c r="G56">
        <v>244295.6</v>
      </c>
      <c r="J56">
        <f t="shared" si="29"/>
        <v>1.3286001762330295E-8</v>
      </c>
      <c r="K56" s="13">
        <v>5</v>
      </c>
      <c r="L56">
        <f t="shared" si="30"/>
        <v>8.7266462599716474E-2</v>
      </c>
      <c r="N56">
        <f t="shared" si="28"/>
        <v>1.0079778824626396E-2</v>
      </c>
      <c r="O56" s="21">
        <f t="shared" si="31"/>
        <v>5.039889412313198E-4</v>
      </c>
      <c r="P56">
        <f t="shared" si="32"/>
        <v>3.3599262748754653E-4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2F49-B3C1-4812-8F7A-D3265C3308F1}">
  <dimension ref="A1:W55"/>
  <sheetViews>
    <sheetView tabSelected="1" workbookViewId="0">
      <selection activeCell="T21" sqref="T21"/>
    </sheetView>
  </sheetViews>
  <sheetFormatPr defaultRowHeight="15" x14ac:dyDescent="0.25"/>
  <cols>
    <col min="5" max="5" width="14.85546875" customWidth="1"/>
  </cols>
  <sheetData>
    <row r="1" spans="1:23" x14ac:dyDescent="0.25">
      <c r="A1" t="s">
        <v>55</v>
      </c>
      <c r="B1" t="s">
        <v>160</v>
      </c>
      <c r="C1" t="s">
        <v>161</v>
      </c>
      <c r="D1" t="s">
        <v>162</v>
      </c>
      <c r="E1" t="s">
        <v>163</v>
      </c>
      <c r="F1" t="s">
        <v>20</v>
      </c>
      <c r="G1" t="s">
        <v>164</v>
      </c>
      <c r="H1" t="s">
        <v>170</v>
      </c>
      <c r="I1" t="s">
        <v>171</v>
      </c>
      <c r="J1" t="s">
        <v>172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163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</row>
    <row r="2" spans="1:23" x14ac:dyDescent="0.25">
      <c r="A2" s="23" t="s">
        <v>157</v>
      </c>
      <c r="B2">
        <v>2.5499999999999998E-2</v>
      </c>
      <c r="C2">
        <v>4.3400000000000001E-2</v>
      </c>
      <c r="D2">
        <v>3.6900000000000002E-2</v>
      </c>
      <c r="E2">
        <v>7.0000000000000001E-3</v>
      </c>
      <c r="G2" s="9">
        <v>1820000000</v>
      </c>
      <c r="H2">
        <f>((C2)*(B2)^3/48)</f>
        <v>1.4992326562499996E-8</v>
      </c>
      <c r="I2">
        <f>((C2^3)*(B2))/36</f>
        <v>5.7903773666666669E-8</v>
      </c>
      <c r="J2">
        <f>(((C2*B2)/144)*((4*(B2^2)+(3*(C2^2)))))</f>
        <v>6.3417598999999994E-8</v>
      </c>
      <c r="K2">
        <v>1348609700</v>
      </c>
      <c r="L2">
        <v>2095632987.9000001</v>
      </c>
      <c r="M2">
        <v>524854200</v>
      </c>
      <c r="N2">
        <v>1067030100</v>
      </c>
      <c r="O2">
        <v>244295.6</v>
      </c>
      <c r="P2">
        <v>7.0000000000000001E-3</v>
      </c>
      <c r="Q2">
        <v>1.4E-2</v>
      </c>
      <c r="R2">
        <f t="shared" ref="R2:R3" si="0">(PI()*(P2^4))/4</f>
        <v>1.885740990317274E-9</v>
      </c>
      <c r="S2">
        <f>(PI()*((2*Q2)^4))/32</f>
        <v>6.0343711690152769E-8</v>
      </c>
      <c r="T2">
        <v>0.1</v>
      </c>
      <c r="U2">
        <f>T2/10</f>
        <v>0.01</v>
      </c>
      <c r="V2">
        <f>U2</f>
        <v>0.01</v>
      </c>
      <c r="W2">
        <v>200</v>
      </c>
    </row>
    <row r="3" spans="1:23" x14ac:dyDescent="0.25">
      <c r="A3" s="1" t="s">
        <v>5</v>
      </c>
      <c r="B3">
        <v>2.2599999999999999E-2</v>
      </c>
      <c r="C3">
        <v>2.521E-2</v>
      </c>
      <c r="D3">
        <v>4.7300000000000002E-2</v>
      </c>
      <c r="E3">
        <f>(1.653/100)/2</f>
        <v>8.2649999999999998E-3</v>
      </c>
      <c r="G3" s="9">
        <v>1820000000</v>
      </c>
      <c r="H3">
        <f>((C3)*(B3)^3/48)</f>
        <v>6.0625722283333327E-9</v>
      </c>
      <c r="I3">
        <f>((C3^3)*(B3))/36</f>
        <v>1.0058297466627776E-8</v>
      </c>
      <c r="J3">
        <f>(((C3*B3)/144)*((4*(B3^2)+(3*(C3^2)))))</f>
        <v>1.5627152737748611E-8</v>
      </c>
      <c r="K3">
        <v>1348609700</v>
      </c>
      <c r="L3">
        <v>2095632987.9000001</v>
      </c>
      <c r="M3">
        <v>524854200</v>
      </c>
      <c r="N3">
        <v>1067030100</v>
      </c>
      <c r="O3">
        <v>244295.6</v>
      </c>
      <c r="P3">
        <f>(1.653/100)/2</f>
        <v>8.2649999999999998E-3</v>
      </c>
      <c r="Q3">
        <f>(1.653/100)</f>
        <v>1.653E-2</v>
      </c>
      <c r="R3">
        <f t="shared" si="0"/>
        <v>3.6648931136687439E-9</v>
      </c>
      <c r="S3">
        <f t="shared" ref="S3:S7" si="1">(PI()*((2*Q3)^4))/32</f>
        <v>1.172765796373998E-7</v>
      </c>
      <c r="T3">
        <v>0.1</v>
      </c>
      <c r="U3">
        <f t="shared" ref="U3:U7" si="2">T3/10</f>
        <v>0.01</v>
      </c>
      <c r="V3">
        <f t="shared" ref="V3:V7" si="3">U3</f>
        <v>0.01</v>
      </c>
      <c r="W3">
        <v>212</v>
      </c>
    </row>
    <row r="4" spans="1:23" x14ac:dyDescent="0.25">
      <c r="A4" s="1" t="s">
        <v>58</v>
      </c>
      <c r="B4">
        <v>2.427E-2</v>
      </c>
      <c r="C4">
        <v>5.2589999999999998E-2</v>
      </c>
      <c r="D4">
        <v>3.5740000000000001E-2</v>
      </c>
      <c r="E4">
        <f>(1.526/2)/100</f>
        <v>7.6300000000000005E-3</v>
      </c>
      <c r="G4" s="9">
        <v>1820000000</v>
      </c>
      <c r="H4">
        <f>((C4)*(B4)^3/48)</f>
        <v>1.5662867081686875E-8</v>
      </c>
      <c r="I4">
        <f>(((C4)^3)*(B4))/36</f>
        <v>9.8056590403342476E-8</v>
      </c>
      <c r="J4">
        <f>(((C4*B4)/144)*((4*(B4^2)+(3*(C4^2)))))</f>
        <v>9.4426265578089355E-8</v>
      </c>
      <c r="K4">
        <v>1348609700</v>
      </c>
      <c r="L4">
        <v>2095632987.9000001</v>
      </c>
      <c r="M4">
        <v>524854200</v>
      </c>
      <c r="N4">
        <v>1067030100</v>
      </c>
      <c r="O4">
        <v>244295.6</v>
      </c>
      <c r="P4">
        <f>(1.526/2)/100</f>
        <v>7.6300000000000005E-3</v>
      </c>
      <c r="Q4">
        <f>(1.526)/100</f>
        <v>1.5260000000000001E-2</v>
      </c>
      <c r="R4">
        <f>(PI()*(P4^4))/4</f>
        <v>2.6618773031550516E-9</v>
      </c>
      <c r="S4">
        <f t="shared" si="1"/>
        <v>8.5180073700961651E-8</v>
      </c>
      <c r="T4">
        <v>0.1</v>
      </c>
      <c r="U4">
        <f t="shared" si="2"/>
        <v>0.01</v>
      </c>
      <c r="V4">
        <f t="shared" si="3"/>
        <v>0.01</v>
      </c>
      <c r="W4">
        <v>212</v>
      </c>
    </row>
    <row r="5" spans="1:23" x14ac:dyDescent="0.25">
      <c r="A5" s="1" t="s">
        <v>59</v>
      </c>
      <c r="B5">
        <v>4.8730000000000002E-2</v>
      </c>
      <c r="C5">
        <v>8.0909999999999996E-2</v>
      </c>
      <c r="D5">
        <v>0.19542000000000001</v>
      </c>
      <c r="E5">
        <f>(1.178/2)/100</f>
        <v>5.8899999999999994E-3</v>
      </c>
      <c r="G5" s="9">
        <v>1820000000</v>
      </c>
      <c r="H5">
        <f t="shared" ref="H5:H6" si="4">((C5)*(B5)^3/48)</f>
        <v>1.9505190575378065E-7</v>
      </c>
      <c r="I5">
        <f t="shared" ref="I5:I6" si="5">(((C5)^3)*(B5))/36</f>
        <v>7.169692243509674E-7</v>
      </c>
      <c r="J5">
        <f t="shared" ref="J5:J6" si="6">(((C5*B5)/144)*((4*(B5^2)+(3*(C5^2)))))</f>
        <v>7.9779612593493309E-7</v>
      </c>
      <c r="K5">
        <v>1348609700</v>
      </c>
      <c r="L5">
        <v>2095632987.9000001</v>
      </c>
      <c r="M5">
        <v>524854200</v>
      </c>
      <c r="N5">
        <v>1067030100</v>
      </c>
      <c r="O5">
        <v>244295.6</v>
      </c>
      <c r="P5">
        <f>(1.178/2)/100</f>
        <v>5.8899999999999994E-3</v>
      </c>
      <c r="Q5">
        <f>(1.178)/100</f>
        <v>1.1779999999999999E-2</v>
      </c>
      <c r="R5">
        <f t="shared" ref="R5:R7" si="7">(PI()*(P5^4))/4</f>
        <v>9.4525952118486823E-10</v>
      </c>
      <c r="S5">
        <f t="shared" si="1"/>
        <v>3.0248304677915783E-8</v>
      </c>
      <c r="T5">
        <v>0.1</v>
      </c>
      <c r="U5">
        <f t="shared" si="2"/>
        <v>0.01</v>
      </c>
      <c r="V5">
        <f t="shared" si="3"/>
        <v>0.01</v>
      </c>
      <c r="W5">
        <v>1162</v>
      </c>
    </row>
    <row r="6" spans="1:23" x14ac:dyDescent="0.25">
      <c r="A6" s="1" t="s">
        <v>65</v>
      </c>
      <c r="B6">
        <v>3.4389999999999997E-2</v>
      </c>
      <c r="C6">
        <v>4.3970000000000002E-2</v>
      </c>
      <c r="D6">
        <v>4.4389999999999999E-2</v>
      </c>
      <c r="E6">
        <f>(1.128/2)/100</f>
        <v>5.6399999999999992E-3</v>
      </c>
      <c r="G6" s="9">
        <v>1820000000</v>
      </c>
      <c r="H6">
        <f t="shared" si="4"/>
        <v>3.7257332333967284E-8</v>
      </c>
      <c r="I6">
        <f t="shared" si="5"/>
        <v>8.1208048083429725E-8</v>
      </c>
      <c r="J6">
        <f t="shared" si="6"/>
        <v>1.1058247917452866E-7</v>
      </c>
      <c r="K6">
        <v>1348609700</v>
      </c>
      <c r="L6">
        <v>2095632987.9000001</v>
      </c>
      <c r="M6">
        <v>524854200</v>
      </c>
      <c r="N6">
        <v>1067030100</v>
      </c>
      <c r="O6">
        <v>244295.6</v>
      </c>
      <c r="P6">
        <f>(1.128/2)/100</f>
        <v>5.6399999999999992E-3</v>
      </c>
      <c r="Q6">
        <f>(1.128/100)</f>
        <v>1.1279999999999998E-2</v>
      </c>
      <c r="R6">
        <f t="shared" si="7"/>
        <v>7.9470564383897361E-10</v>
      </c>
      <c r="S6">
        <f t="shared" si="1"/>
        <v>2.5430580602847156E-8</v>
      </c>
      <c r="T6">
        <v>0.1</v>
      </c>
      <c r="U6">
        <f t="shared" si="2"/>
        <v>0.01</v>
      </c>
      <c r="V6">
        <f t="shared" si="3"/>
        <v>0.01</v>
      </c>
      <c r="W6">
        <v>267</v>
      </c>
    </row>
    <row r="7" spans="1:23" x14ac:dyDescent="0.25">
      <c r="A7" s="7" t="s">
        <v>66</v>
      </c>
      <c r="B7">
        <v>1.5610000000000001E-2</v>
      </c>
      <c r="C7">
        <v>3.108E-2</v>
      </c>
      <c r="D7">
        <v>2.81E-2</v>
      </c>
      <c r="E7">
        <f>(0.959/2)/100</f>
        <v>4.7949999999999998E-3</v>
      </c>
      <c r="F7" t="s">
        <v>86</v>
      </c>
      <c r="G7" s="9">
        <v>1820000000</v>
      </c>
      <c r="H7">
        <f>((C7)*((B7)^3))/3</f>
        <v>3.9406554543160003E-8</v>
      </c>
      <c r="I7">
        <f>((B7)*((C7)^3))/3</f>
        <v>1.5621569982144E-7</v>
      </c>
      <c r="J7">
        <f>(((B7*C7*((B7^2)+(C7^2)))/12))</f>
        <v>4.8905563591150009E-8</v>
      </c>
      <c r="K7">
        <v>1348609700</v>
      </c>
      <c r="L7">
        <v>2095632987.9000001</v>
      </c>
      <c r="M7">
        <v>524854200</v>
      </c>
      <c r="N7">
        <v>1067030100</v>
      </c>
      <c r="O7">
        <v>244295.6</v>
      </c>
      <c r="P7">
        <f>(0.959/2)/100</f>
        <v>4.7949999999999998E-3</v>
      </c>
      <c r="Q7">
        <f>(0.959/100)</f>
        <v>9.5899999999999996E-3</v>
      </c>
      <c r="R7">
        <f t="shared" si="7"/>
        <v>4.1518755507282173E-10</v>
      </c>
      <c r="S7">
        <f t="shared" si="1"/>
        <v>1.3286001762330295E-8</v>
      </c>
      <c r="T7">
        <v>0.1</v>
      </c>
      <c r="U7">
        <f t="shared" si="2"/>
        <v>0.01</v>
      </c>
      <c r="V7">
        <f t="shared" si="3"/>
        <v>0.01</v>
      </c>
      <c r="W7">
        <v>272</v>
      </c>
    </row>
    <row r="8" spans="1:23" x14ac:dyDescent="0.25">
      <c r="A8" s="23" t="s">
        <v>157</v>
      </c>
      <c r="B8">
        <v>2.5499999999999998E-2</v>
      </c>
      <c r="C8">
        <v>4.3400000000000001E-2</v>
      </c>
      <c r="D8">
        <v>3.6900000000000002E-2</v>
      </c>
      <c r="E8">
        <v>7.0000000000000001E-3</v>
      </c>
      <c r="G8" s="9">
        <v>1820000000</v>
      </c>
      <c r="H8">
        <f>((C8)*(B8)^3/48)</f>
        <v>1.4992326562499996E-8</v>
      </c>
      <c r="I8">
        <f>((C8^3)*(B8))/36</f>
        <v>5.7903773666666669E-8</v>
      </c>
      <c r="J8">
        <f>(((C8*B8)/144)*((4*(B8^2)+(3*(C8^2)))))</f>
        <v>6.3417598999999994E-8</v>
      </c>
      <c r="K8">
        <v>1348609700</v>
      </c>
      <c r="L8">
        <v>2095632987.9000001</v>
      </c>
      <c r="M8">
        <v>524854200</v>
      </c>
      <c r="N8">
        <v>1067030100</v>
      </c>
      <c r="O8">
        <v>244295.6</v>
      </c>
      <c r="P8">
        <v>7.0000000000000001E-3</v>
      </c>
      <c r="Q8">
        <v>1.4E-2</v>
      </c>
      <c r="R8">
        <f t="shared" ref="R8:R9" si="8">(PI()*(P8^4))/4</f>
        <v>1.885740990317274E-9</v>
      </c>
      <c r="S8">
        <f>(PI()*((2*Q8)^4))/32</f>
        <v>6.0343711690152769E-8</v>
      </c>
      <c r="T8">
        <v>1</v>
      </c>
      <c r="U8">
        <f>T8/10</f>
        <v>0.1</v>
      </c>
      <c r="V8">
        <f>U8</f>
        <v>0.1</v>
      </c>
      <c r="W8">
        <v>200</v>
      </c>
    </row>
    <row r="9" spans="1:23" x14ac:dyDescent="0.25">
      <c r="A9" s="1" t="s">
        <v>5</v>
      </c>
      <c r="B9">
        <v>2.2599999999999999E-2</v>
      </c>
      <c r="C9">
        <v>2.521E-2</v>
      </c>
      <c r="D9">
        <v>4.7300000000000002E-2</v>
      </c>
      <c r="E9">
        <f>(1.653/100)/2</f>
        <v>8.2649999999999998E-3</v>
      </c>
      <c r="G9" s="9">
        <v>1820000000</v>
      </c>
      <c r="H9">
        <f>((C9)*(B9)^3/48)</f>
        <v>6.0625722283333327E-9</v>
      </c>
      <c r="I9">
        <f>((C9^3)*(B9))/36</f>
        <v>1.0058297466627776E-8</v>
      </c>
      <c r="J9">
        <f>(((C9*B9)/144)*((4*(B9^2)+(3*(C9^2)))))</f>
        <v>1.5627152737748611E-8</v>
      </c>
      <c r="K9">
        <v>1348609700</v>
      </c>
      <c r="L9">
        <v>2095632987.9000001</v>
      </c>
      <c r="M9">
        <v>524854200</v>
      </c>
      <c r="N9">
        <v>1067030100</v>
      </c>
      <c r="O9">
        <v>244295.6</v>
      </c>
      <c r="P9">
        <f>(1.653/100)/2</f>
        <v>8.2649999999999998E-3</v>
      </c>
      <c r="Q9">
        <f>(1.653/100)</f>
        <v>1.653E-2</v>
      </c>
      <c r="R9">
        <f t="shared" si="8"/>
        <v>3.6648931136687439E-9</v>
      </c>
      <c r="S9">
        <f t="shared" ref="S9:S13" si="9">(PI()*((2*Q9)^4))/32</f>
        <v>1.172765796373998E-7</v>
      </c>
      <c r="T9">
        <v>1</v>
      </c>
      <c r="U9">
        <f t="shared" ref="U9:U13" si="10">T9/10</f>
        <v>0.1</v>
      </c>
      <c r="V9">
        <f t="shared" ref="V9:V13" si="11">U9</f>
        <v>0.1</v>
      </c>
      <c r="W9">
        <v>212</v>
      </c>
    </row>
    <row r="10" spans="1:23" x14ac:dyDescent="0.25">
      <c r="A10" s="1" t="s">
        <v>58</v>
      </c>
      <c r="B10">
        <v>2.427E-2</v>
      </c>
      <c r="C10">
        <v>5.2589999999999998E-2</v>
      </c>
      <c r="D10">
        <v>3.5740000000000001E-2</v>
      </c>
      <c r="E10">
        <f>(1.526/2)/100</f>
        <v>7.6300000000000005E-3</v>
      </c>
      <c r="G10" s="9">
        <v>1820000000</v>
      </c>
      <c r="H10">
        <f>((C10)*(B10)^3/48)</f>
        <v>1.5662867081686875E-8</v>
      </c>
      <c r="I10">
        <f>(((C10)^3)*(B10))/36</f>
        <v>9.8056590403342476E-8</v>
      </c>
      <c r="J10">
        <f>(((C10*B10)/144)*((4*(B10^2)+(3*(C10^2)))))</f>
        <v>9.4426265578089355E-8</v>
      </c>
      <c r="K10">
        <v>1348609700</v>
      </c>
      <c r="L10">
        <v>2095632987.9000001</v>
      </c>
      <c r="M10">
        <v>524854200</v>
      </c>
      <c r="N10">
        <v>1067030100</v>
      </c>
      <c r="O10">
        <v>244295.6</v>
      </c>
      <c r="P10">
        <f>(1.526/2)/100</f>
        <v>7.6300000000000005E-3</v>
      </c>
      <c r="Q10">
        <f>(1.526)/100</f>
        <v>1.5260000000000001E-2</v>
      </c>
      <c r="R10">
        <f>(PI()*(P10^4))/4</f>
        <v>2.6618773031550516E-9</v>
      </c>
      <c r="S10">
        <f t="shared" si="9"/>
        <v>8.5180073700961651E-8</v>
      </c>
      <c r="T10">
        <v>1</v>
      </c>
      <c r="U10">
        <f t="shared" si="10"/>
        <v>0.1</v>
      </c>
      <c r="V10">
        <f t="shared" si="11"/>
        <v>0.1</v>
      </c>
      <c r="W10">
        <v>212</v>
      </c>
    </row>
    <row r="11" spans="1:23" x14ac:dyDescent="0.25">
      <c r="A11" s="1" t="s">
        <v>59</v>
      </c>
      <c r="B11">
        <v>4.8730000000000002E-2</v>
      </c>
      <c r="C11">
        <v>8.0909999999999996E-2</v>
      </c>
      <c r="D11">
        <v>0.19542000000000001</v>
      </c>
      <c r="E11">
        <f>(1.178/2)/100</f>
        <v>5.8899999999999994E-3</v>
      </c>
      <c r="G11" s="9">
        <v>1820000000</v>
      </c>
      <c r="H11">
        <f t="shared" ref="H11:H12" si="12">((C11)*(B11)^3/48)</f>
        <v>1.9505190575378065E-7</v>
      </c>
      <c r="I11">
        <f t="shared" ref="I11:I12" si="13">(((C11)^3)*(B11))/36</f>
        <v>7.169692243509674E-7</v>
      </c>
      <c r="J11">
        <f t="shared" ref="J11:J12" si="14">(((C11*B11)/144)*((4*(B11^2)+(3*(C11^2)))))</f>
        <v>7.9779612593493309E-7</v>
      </c>
      <c r="K11">
        <v>1348609700</v>
      </c>
      <c r="L11">
        <v>2095632987.9000001</v>
      </c>
      <c r="M11">
        <v>524854200</v>
      </c>
      <c r="N11">
        <v>1067030100</v>
      </c>
      <c r="O11">
        <v>244295.6</v>
      </c>
      <c r="P11">
        <f>(1.178/2)/100</f>
        <v>5.8899999999999994E-3</v>
      </c>
      <c r="Q11">
        <f>(1.178)/100</f>
        <v>1.1779999999999999E-2</v>
      </c>
      <c r="R11">
        <f t="shared" ref="R11:R13" si="15">(PI()*(P11^4))/4</f>
        <v>9.4525952118486823E-10</v>
      </c>
      <c r="S11">
        <f t="shared" si="9"/>
        <v>3.0248304677915783E-8</v>
      </c>
      <c r="T11">
        <v>1</v>
      </c>
      <c r="U11">
        <f t="shared" si="10"/>
        <v>0.1</v>
      </c>
      <c r="V11">
        <f t="shared" si="11"/>
        <v>0.1</v>
      </c>
      <c r="W11">
        <v>1162</v>
      </c>
    </row>
    <row r="12" spans="1:23" x14ac:dyDescent="0.25">
      <c r="A12" s="1" t="s">
        <v>65</v>
      </c>
      <c r="B12">
        <v>3.4389999999999997E-2</v>
      </c>
      <c r="C12">
        <v>4.3970000000000002E-2</v>
      </c>
      <c r="D12">
        <v>4.4389999999999999E-2</v>
      </c>
      <c r="E12">
        <f>(1.128/2)/100</f>
        <v>5.6399999999999992E-3</v>
      </c>
      <c r="G12" s="9">
        <v>1820000000</v>
      </c>
      <c r="H12">
        <f t="shared" si="12"/>
        <v>3.7257332333967284E-8</v>
      </c>
      <c r="I12">
        <f t="shared" si="13"/>
        <v>8.1208048083429725E-8</v>
      </c>
      <c r="J12">
        <f t="shared" si="14"/>
        <v>1.1058247917452866E-7</v>
      </c>
      <c r="K12">
        <v>1348609700</v>
      </c>
      <c r="L12">
        <v>2095632987.9000001</v>
      </c>
      <c r="M12">
        <v>524854200</v>
      </c>
      <c r="N12">
        <v>1067030100</v>
      </c>
      <c r="O12">
        <v>244295.6</v>
      </c>
      <c r="P12">
        <f>(1.128/2)/100</f>
        <v>5.6399999999999992E-3</v>
      </c>
      <c r="Q12">
        <f>(1.128/100)</f>
        <v>1.1279999999999998E-2</v>
      </c>
      <c r="R12">
        <f t="shared" si="15"/>
        <v>7.9470564383897361E-10</v>
      </c>
      <c r="S12">
        <f t="shared" si="9"/>
        <v>2.5430580602847156E-8</v>
      </c>
      <c r="T12">
        <v>1</v>
      </c>
      <c r="U12">
        <f t="shared" si="10"/>
        <v>0.1</v>
      </c>
      <c r="V12">
        <f t="shared" si="11"/>
        <v>0.1</v>
      </c>
      <c r="W12">
        <v>267</v>
      </c>
    </row>
    <row r="13" spans="1:23" x14ac:dyDescent="0.25">
      <c r="A13" s="7" t="s">
        <v>66</v>
      </c>
      <c r="B13">
        <v>1.5610000000000001E-2</v>
      </c>
      <c r="C13">
        <v>3.108E-2</v>
      </c>
      <c r="D13">
        <v>2.81E-2</v>
      </c>
      <c r="E13">
        <f>(0.959/2)/100</f>
        <v>4.7949999999999998E-3</v>
      </c>
      <c r="F13" t="s">
        <v>86</v>
      </c>
      <c r="G13" s="9">
        <v>1820000000</v>
      </c>
      <c r="H13">
        <f>((C13)*((B13)^3))/3</f>
        <v>3.9406554543160003E-8</v>
      </c>
      <c r="I13">
        <f>((B13)*((C13)^3))/3</f>
        <v>1.5621569982144E-7</v>
      </c>
      <c r="J13">
        <f>(((B13*C13*((B13^2)+(C13^2)))/12))</f>
        <v>4.8905563591150009E-8</v>
      </c>
      <c r="K13">
        <v>1348609700</v>
      </c>
      <c r="L13">
        <v>2095632987.9000001</v>
      </c>
      <c r="M13">
        <v>524854200</v>
      </c>
      <c r="N13">
        <v>1067030100</v>
      </c>
      <c r="O13">
        <v>244295.6</v>
      </c>
      <c r="P13">
        <f>(0.959/2)/100</f>
        <v>4.7949999999999998E-3</v>
      </c>
      <c r="Q13">
        <f>(0.959/100)</f>
        <v>9.5899999999999996E-3</v>
      </c>
      <c r="R13">
        <f t="shared" si="15"/>
        <v>4.1518755507282173E-10</v>
      </c>
      <c r="S13">
        <f t="shared" si="9"/>
        <v>1.3286001762330295E-8</v>
      </c>
      <c r="T13">
        <v>1</v>
      </c>
      <c r="U13">
        <f t="shared" si="10"/>
        <v>0.1</v>
      </c>
      <c r="V13">
        <f t="shared" si="11"/>
        <v>0.1</v>
      </c>
      <c r="W13">
        <v>272</v>
      </c>
    </row>
    <row r="14" spans="1:23" x14ac:dyDescent="0.25">
      <c r="A14" s="23" t="s">
        <v>157</v>
      </c>
      <c r="B14">
        <v>2.5499999999999998E-2</v>
      </c>
      <c r="C14">
        <v>4.3400000000000001E-2</v>
      </c>
      <c r="D14">
        <v>3.6900000000000002E-2</v>
      </c>
      <c r="E14">
        <v>7.0000000000000001E-3</v>
      </c>
      <c r="G14" s="9">
        <v>1820000000</v>
      </c>
      <c r="H14">
        <f>((C14)*(B14)^3/48)</f>
        <v>1.4992326562499996E-8</v>
      </c>
      <c r="I14">
        <f>((C14^3)*(B14))/36</f>
        <v>5.7903773666666669E-8</v>
      </c>
      <c r="J14">
        <f>(((C14*B14)/144)*((4*(B14^2)+(3*(C14^2)))))</f>
        <v>6.3417598999999994E-8</v>
      </c>
      <c r="K14">
        <v>1348609700</v>
      </c>
      <c r="L14">
        <v>2095632987.9000001</v>
      </c>
      <c r="M14">
        <v>524854200</v>
      </c>
      <c r="N14">
        <v>1067030100</v>
      </c>
      <c r="O14">
        <v>244295.6</v>
      </c>
      <c r="P14">
        <v>7.0000000000000001E-3</v>
      </c>
      <c r="Q14">
        <v>1.4E-2</v>
      </c>
      <c r="R14">
        <f t="shared" ref="R14:R15" si="16">(PI()*(P14^4))/4</f>
        <v>1.885740990317274E-9</v>
      </c>
      <c r="S14">
        <f>(PI()*((2*Q14)^4))/32</f>
        <v>6.0343711690152769E-8</v>
      </c>
      <c r="T14">
        <v>5</v>
      </c>
      <c r="U14">
        <f>T14/10</f>
        <v>0.5</v>
      </c>
      <c r="V14">
        <f>U14</f>
        <v>0.5</v>
      </c>
      <c r="W14">
        <v>200</v>
      </c>
    </row>
    <row r="15" spans="1:23" x14ac:dyDescent="0.25">
      <c r="A15" s="1" t="s">
        <v>5</v>
      </c>
      <c r="B15">
        <v>2.2599999999999999E-2</v>
      </c>
      <c r="C15">
        <v>2.521E-2</v>
      </c>
      <c r="D15">
        <v>4.7300000000000002E-2</v>
      </c>
      <c r="E15">
        <f>(1.653/100)/2</f>
        <v>8.2649999999999998E-3</v>
      </c>
      <c r="G15" s="9">
        <v>1820000000</v>
      </c>
      <c r="H15">
        <f>((C15)*(B15)^3/48)</f>
        <v>6.0625722283333327E-9</v>
      </c>
      <c r="I15">
        <f>((C15^3)*(B15))/36</f>
        <v>1.0058297466627776E-8</v>
      </c>
      <c r="J15">
        <f>(((C15*B15)/144)*((4*(B15^2)+(3*(C15^2)))))</f>
        <v>1.5627152737748611E-8</v>
      </c>
      <c r="K15">
        <v>1348609700</v>
      </c>
      <c r="L15">
        <v>2095632987.9000001</v>
      </c>
      <c r="M15">
        <v>524854200</v>
      </c>
      <c r="N15">
        <v>1067030100</v>
      </c>
      <c r="O15">
        <v>244295.6</v>
      </c>
      <c r="P15">
        <f>(1.653/100)/2</f>
        <v>8.2649999999999998E-3</v>
      </c>
      <c r="Q15">
        <f>(1.653/100)</f>
        <v>1.653E-2</v>
      </c>
      <c r="R15">
        <f t="shared" si="16"/>
        <v>3.6648931136687439E-9</v>
      </c>
      <c r="S15">
        <f t="shared" ref="S15:S19" si="17">(PI()*((2*Q15)^4))/32</f>
        <v>1.172765796373998E-7</v>
      </c>
      <c r="T15">
        <v>5</v>
      </c>
      <c r="U15">
        <f t="shared" ref="U15:U55" si="18">T15/10</f>
        <v>0.5</v>
      </c>
      <c r="V15">
        <f t="shared" ref="V15:V55" si="19">U15</f>
        <v>0.5</v>
      </c>
      <c r="W15">
        <v>212</v>
      </c>
    </row>
    <row r="16" spans="1:23" x14ac:dyDescent="0.25">
      <c r="A16" s="1" t="s">
        <v>58</v>
      </c>
      <c r="B16">
        <v>2.427E-2</v>
      </c>
      <c r="C16">
        <v>5.2589999999999998E-2</v>
      </c>
      <c r="D16">
        <v>3.5740000000000001E-2</v>
      </c>
      <c r="E16">
        <f>(1.526/2)/100</f>
        <v>7.6300000000000005E-3</v>
      </c>
      <c r="G16" s="9">
        <v>1820000000</v>
      </c>
      <c r="H16">
        <f>((C16)*(B16)^3/48)</f>
        <v>1.5662867081686875E-8</v>
      </c>
      <c r="I16">
        <f>(((C16)^3)*(B16))/36</f>
        <v>9.8056590403342476E-8</v>
      </c>
      <c r="J16">
        <f>(((C16*B16)/144)*((4*(B16^2)+(3*(C16^2)))))</f>
        <v>9.4426265578089355E-8</v>
      </c>
      <c r="K16">
        <v>1348609700</v>
      </c>
      <c r="L16">
        <v>2095632987.9000001</v>
      </c>
      <c r="M16">
        <v>524854200</v>
      </c>
      <c r="N16">
        <v>1067030100</v>
      </c>
      <c r="O16">
        <v>244295.6</v>
      </c>
      <c r="P16">
        <f>(1.526/2)/100</f>
        <v>7.6300000000000005E-3</v>
      </c>
      <c r="Q16">
        <f>(1.526)/100</f>
        <v>1.5260000000000001E-2</v>
      </c>
      <c r="R16">
        <f>(PI()*(P16^4))/4</f>
        <v>2.6618773031550516E-9</v>
      </c>
      <c r="S16">
        <f t="shared" si="17"/>
        <v>8.5180073700961651E-8</v>
      </c>
      <c r="T16">
        <v>5</v>
      </c>
      <c r="U16">
        <f t="shared" si="18"/>
        <v>0.5</v>
      </c>
      <c r="V16">
        <f t="shared" si="19"/>
        <v>0.5</v>
      </c>
      <c r="W16">
        <v>212</v>
      </c>
    </row>
    <row r="17" spans="1:23" x14ac:dyDescent="0.25">
      <c r="A17" s="1" t="s">
        <v>59</v>
      </c>
      <c r="B17">
        <v>4.8730000000000002E-2</v>
      </c>
      <c r="C17">
        <v>8.0909999999999996E-2</v>
      </c>
      <c r="D17">
        <v>0.19542000000000001</v>
      </c>
      <c r="E17">
        <f>(1.178/2)/100</f>
        <v>5.8899999999999994E-3</v>
      </c>
      <c r="G17" s="9">
        <v>1820000000</v>
      </c>
      <c r="H17">
        <f t="shared" ref="H17:H18" si="20">((C17)*(B17)^3/48)</f>
        <v>1.9505190575378065E-7</v>
      </c>
      <c r="I17">
        <f t="shared" ref="I17:I18" si="21">(((C17)^3)*(B17))/36</f>
        <v>7.169692243509674E-7</v>
      </c>
      <c r="J17">
        <f t="shared" ref="J17:J18" si="22">(((C17*B17)/144)*((4*(B17^2)+(3*(C17^2)))))</f>
        <v>7.9779612593493309E-7</v>
      </c>
      <c r="K17">
        <v>1348609700</v>
      </c>
      <c r="L17">
        <v>2095632987.9000001</v>
      </c>
      <c r="M17">
        <v>524854200</v>
      </c>
      <c r="N17">
        <v>1067030100</v>
      </c>
      <c r="O17">
        <v>244295.6</v>
      </c>
      <c r="P17">
        <f>(1.178/2)/100</f>
        <v>5.8899999999999994E-3</v>
      </c>
      <c r="Q17">
        <f>(1.178)/100</f>
        <v>1.1779999999999999E-2</v>
      </c>
      <c r="R17">
        <f t="shared" ref="R17:R21" si="23">(PI()*(P17^4))/4</f>
        <v>9.4525952118486823E-10</v>
      </c>
      <c r="S17">
        <f t="shared" si="17"/>
        <v>3.0248304677915783E-8</v>
      </c>
      <c r="T17">
        <v>5</v>
      </c>
      <c r="U17">
        <f t="shared" si="18"/>
        <v>0.5</v>
      </c>
      <c r="V17">
        <f t="shared" si="19"/>
        <v>0.5</v>
      </c>
      <c r="W17">
        <v>1162</v>
      </c>
    </row>
    <row r="18" spans="1:23" x14ac:dyDescent="0.25">
      <c r="A18" s="1" t="s">
        <v>65</v>
      </c>
      <c r="B18">
        <v>3.4389999999999997E-2</v>
      </c>
      <c r="C18">
        <v>4.3970000000000002E-2</v>
      </c>
      <c r="D18">
        <v>4.4389999999999999E-2</v>
      </c>
      <c r="E18">
        <f>(1.128/2)/100</f>
        <v>5.6399999999999992E-3</v>
      </c>
      <c r="G18" s="9">
        <v>1820000000</v>
      </c>
      <c r="H18">
        <f t="shared" si="20"/>
        <v>3.7257332333967284E-8</v>
      </c>
      <c r="I18">
        <f t="shared" si="21"/>
        <v>8.1208048083429725E-8</v>
      </c>
      <c r="J18">
        <f t="shared" si="22"/>
        <v>1.1058247917452866E-7</v>
      </c>
      <c r="K18">
        <v>1348609700</v>
      </c>
      <c r="L18">
        <v>2095632987.9000001</v>
      </c>
      <c r="M18">
        <v>524854200</v>
      </c>
      <c r="N18">
        <v>1067030100</v>
      </c>
      <c r="O18">
        <v>244295.6</v>
      </c>
      <c r="P18">
        <f>(1.128/2)/100</f>
        <v>5.6399999999999992E-3</v>
      </c>
      <c r="Q18">
        <f>(1.128/100)</f>
        <v>1.1279999999999998E-2</v>
      </c>
      <c r="R18">
        <f t="shared" si="23"/>
        <v>7.9470564383897361E-10</v>
      </c>
      <c r="S18">
        <f t="shared" si="17"/>
        <v>2.5430580602847156E-8</v>
      </c>
      <c r="T18">
        <v>5</v>
      </c>
      <c r="U18">
        <f t="shared" si="18"/>
        <v>0.5</v>
      </c>
      <c r="V18">
        <f t="shared" si="19"/>
        <v>0.5</v>
      </c>
      <c r="W18">
        <v>267</v>
      </c>
    </row>
    <row r="19" spans="1:23" x14ac:dyDescent="0.25">
      <c r="A19" s="7" t="s">
        <v>66</v>
      </c>
      <c r="B19">
        <v>1.5610000000000001E-2</v>
      </c>
      <c r="C19">
        <v>3.108E-2</v>
      </c>
      <c r="D19">
        <v>2.81E-2</v>
      </c>
      <c r="E19">
        <f>(0.959/2)/100</f>
        <v>4.7949999999999998E-3</v>
      </c>
      <c r="F19" t="s">
        <v>86</v>
      </c>
      <c r="G19" s="9">
        <v>1820000000</v>
      </c>
      <c r="H19">
        <f>((C19)*((B19)^3))/3</f>
        <v>3.9406554543160003E-8</v>
      </c>
      <c r="I19">
        <f>((B19)*((C19)^3))/3</f>
        <v>1.5621569982144E-7</v>
      </c>
      <c r="J19">
        <f>(((B19*C19*((B19^2)+(C19^2)))/12))</f>
        <v>4.8905563591150009E-8</v>
      </c>
      <c r="K19">
        <v>1348609700</v>
      </c>
      <c r="L19">
        <v>2095632987.9000001</v>
      </c>
      <c r="M19">
        <v>524854200</v>
      </c>
      <c r="N19">
        <v>1067030100</v>
      </c>
      <c r="O19">
        <v>244295.6</v>
      </c>
      <c r="P19">
        <f>(0.959/2)/100</f>
        <v>4.7949999999999998E-3</v>
      </c>
      <c r="Q19">
        <f>(0.959/100)</f>
        <v>9.5899999999999996E-3</v>
      </c>
      <c r="R19">
        <f t="shared" si="23"/>
        <v>4.1518755507282173E-10</v>
      </c>
      <c r="S19">
        <f t="shared" si="17"/>
        <v>1.3286001762330295E-8</v>
      </c>
      <c r="T19">
        <v>5</v>
      </c>
      <c r="U19">
        <f t="shared" si="18"/>
        <v>0.5</v>
      </c>
      <c r="V19">
        <f t="shared" si="19"/>
        <v>0.5</v>
      </c>
      <c r="W19">
        <v>272</v>
      </c>
    </row>
    <row r="20" spans="1:23" x14ac:dyDescent="0.25">
      <c r="A20" s="23" t="s">
        <v>157</v>
      </c>
      <c r="B20">
        <v>2.5499999999999998E-2</v>
      </c>
      <c r="C20">
        <v>4.3400000000000001E-2</v>
      </c>
      <c r="D20">
        <v>3.6900000000000002E-2</v>
      </c>
      <c r="E20">
        <v>7.0000000000000001E-3</v>
      </c>
      <c r="G20" s="9">
        <v>1820000000</v>
      </c>
      <c r="H20">
        <f>((C20)*(B20)^3/48)</f>
        <v>1.4992326562499996E-8</v>
      </c>
      <c r="I20">
        <f>((C20^3)*(B20))/36</f>
        <v>5.7903773666666669E-8</v>
      </c>
      <c r="J20">
        <f>(((C20*B20)/144)*((4*(B20^2)+(3*(C20^2)))))</f>
        <v>6.3417598999999994E-8</v>
      </c>
      <c r="K20">
        <v>1348609700</v>
      </c>
      <c r="L20">
        <v>2095632987.9000001</v>
      </c>
      <c r="M20">
        <v>524854200</v>
      </c>
      <c r="N20">
        <v>1067030100</v>
      </c>
      <c r="O20">
        <v>244295.6</v>
      </c>
      <c r="P20">
        <v>7.0000000000000001E-3</v>
      </c>
      <c r="Q20">
        <v>1.4E-2</v>
      </c>
      <c r="R20">
        <f t="shared" si="23"/>
        <v>1.885740990317274E-9</v>
      </c>
      <c r="S20">
        <f>(PI()*((2*Q20)^4))/32</f>
        <v>6.0343711690152769E-8</v>
      </c>
      <c r="T20">
        <v>7.5</v>
      </c>
      <c r="U20">
        <f t="shared" si="18"/>
        <v>0.75</v>
      </c>
      <c r="V20">
        <f t="shared" si="19"/>
        <v>0.75</v>
      </c>
      <c r="W20">
        <v>200</v>
      </c>
    </row>
    <row r="21" spans="1:23" x14ac:dyDescent="0.25">
      <c r="A21" s="1" t="s">
        <v>5</v>
      </c>
      <c r="B21">
        <v>2.2599999999999999E-2</v>
      </c>
      <c r="C21">
        <v>2.521E-2</v>
      </c>
      <c r="D21">
        <v>4.7300000000000002E-2</v>
      </c>
      <c r="E21">
        <f>(1.653/100)/2</f>
        <v>8.2649999999999998E-3</v>
      </c>
      <c r="G21" s="9">
        <v>1820000000</v>
      </c>
      <c r="H21">
        <f>((C21)*(B21)^3/48)</f>
        <v>6.0625722283333327E-9</v>
      </c>
      <c r="I21">
        <f>((C21^3)*(B21))/36</f>
        <v>1.0058297466627776E-8</v>
      </c>
      <c r="J21">
        <f>(((C21*B21)/144)*((4*(B21^2)+(3*(C21^2)))))</f>
        <v>1.5627152737748611E-8</v>
      </c>
      <c r="K21">
        <v>1348609700</v>
      </c>
      <c r="L21">
        <v>2095632987.9000001</v>
      </c>
      <c r="M21">
        <v>524854200</v>
      </c>
      <c r="N21">
        <v>1067030100</v>
      </c>
      <c r="O21">
        <v>244295.6</v>
      </c>
      <c r="P21">
        <f>(1.653/100)/2</f>
        <v>8.2649999999999998E-3</v>
      </c>
      <c r="Q21">
        <f>(1.653/100)</f>
        <v>1.653E-2</v>
      </c>
      <c r="R21">
        <f t="shared" si="23"/>
        <v>3.6648931136687439E-9</v>
      </c>
      <c r="S21">
        <f t="shared" ref="S21:S25" si="24">(PI()*((2*Q21)^4))/32</f>
        <v>1.172765796373998E-7</v>
      </c>
      <c r="T21">
        <v>7.5</v>
      </c>
      <c r="U21">
        <f t="shared" si="18"/>
        <v>0.75</v>
      </c>
      <c r="V21">
        <f t="shared" si="19"/>
        <v>0.75</v>
      </c>
      <c r="W21">
        <v>212</v>
      </c>
    </row>
    <row r="22" spans="1:23" x14ac:dyDescent="0.25">
      <c r="A22" s="1" t="s">
        <v>58</v>
      </c>
      <c r="B22">
        <v>2.427E-2</v>
      </c>
      <c r="C22">
        <v>5.2589999999999998E-2</v>
      </c>
      <c r="D22">
        <v>3.5740000000000001E-2</v>
      </c>
      <c r="E22">
        <f>(1.526/2)/100</f>
        <v>7.6300000000000005E-3</v>
      </c>
      <c r="G22" s="9">
        <v>1820000000</v>
      </c>
      <c r="H22">
        <f>((C22)*(B22)^3/48)</f>
        <v>1.5662867081686875E-8</v>
      </c>
      <c r="I22">
        <f>(((C22)^3)*(B22))/36</f>
        <v>9.8056590403342476E-8</v>
      </c>
      <c r="J22">
        <f>(((C22*B22)/144)*((4*(B22^2)+(3*(C22^2)))))</f>
        <v>9.4426265578089355E-8</v>
      </c>
      <c r="K22">
        <v>1348609700</v>
      </c>
      <c r="L22">
        <v>2095632987.9000001</v>
      </c>
      <c r="M22">
        <v>524854200</v>
      </c>
      <c r="N22">
        <v>1067030100</v>
      </c>
      <c r="O22">
        <v>244295.6</v>
      </c>
      <c r="P22">
        <f>(1.526/2)/100</f>
        <v>7.6300000000000005E-3</v>
      </c>
      <c r="Q22">
        <f>(1.526)/100</f>
        <v>1.5260000000000001E-2</v>
      </c>
      <c r="R22">
        <f>(PI()*(P22^4))/4</f>
        <v>2.6618773031550516E-9</v>
      </c>
      <c r="S22">
        <f t="shared" si="24"/>
        <v>8.5180073700961651E-8</v>
      </c>
      <c r="T22">
        <v>7.5</v>
      </c>
      <c r="U22">
        <f t="shared" si="18"/>
        <v>0.75</v>
      </c>
      <c r="V22">
        <f t="shared" si="19"/>
        <v>0.75</v>
      </c>
      <c r="W22">
        <v>212</v>
      </c>
    </row>
    <row r="23" spans="1:23" x14ac:dyDescent="0.25">
      <c r="A23" s="1" t="s">
        <v>59</v>
      </c>
      <c r="B23">
        <v>4.8730000000000002E-2</v>
      </c>
      <c r="C23">
        <v>8.0909999999999996E-2</v>
      </c>
      <c r="D23">
        <v>0.19542000000000001</v>
      </c>
      <c r="E23">
        <f>(1.178/2)/100</f>
        <v>5.8899999999999994E-3</v>
      </c>
      <c r="G23" s="9">
        <v>1820000000</v>
      </c>
      <c r="H23">
        <f t="shared" ref="H23:H24" si="25">((C23)*(B23)^3/48)</f>
        <v>1.9505190575378065E-7</v>
      </c>
      <c r="I23">
        <f t="shared" ref="I23:I24" si="26">(((C23)^3)*(B23))/36</f>
        <v>7.169692243509674E-7</v>
      </c>
      <c r="J23">
        <f t="shared" ref="J23:J24" si="27">(((C23*B23)/144)*((4*(B23^2)+(3*(C23^2)))))</f>
        <v>7.9779612593493309E-7</v>
      </c>
      <c r="K23">
        <v>1348609700</v>
      </c>
      <c r="L23">
        <v>2095632987.9000001</v>
      </c>
      <c r="M23">
        <v>524854200</v>
      </c>
      <c r="N23">
        <v>1067030100</v>
      </c>
      <c r="O23">
        <v>244295.6</v>
      </c>
      <c r="P23">
        <f>(1.178/2)/100</f>
        <v>5.8899999999999994E-3</v>
      </c>
      <c r="Q23">
        <f>(1.178)/100</f>
        <v>1.1779999999999999E-2</v>
      </c>
      <c r="R23">
        <f t="shared" ref="R23:R25" si="28">(PI()*(P23^4))/4</f>
        <v>9.4525952118486823E-10</v>
      </c>
      <c r="S23">
        <f t="shared" si="24"/>
        <v>3.0248304677915783E-8</v>
      </c>
      <c r="T23">
        <v>7.5</v>
      </c>
      <c r="U23">
        <f t="shared" si="18"/>
        <v>0.75</v>
      </c>
      <c r="V23">
        <f t="shared" si="19"/>
        <v>0.75</v>
      </c>
      <c r="W23">
        <v>1162</v>
      </c>
    </row>
    <row r="24" spans="1:23" x14ac:dyDescent="0.25">
      <c r="A24" s="1" t="s">
        <v>65</v>
      </c>
      <c r="B24">
        <v>3.4389999999999997E-2</v>
      </c>
      <c r="C24">
        <v>4.3970000000000002E-2</v>
      </c>
      <c r="D24">
        <v>4.4389999999999999E-2</v>
      </c>
      <c r="E24">
        <f>(1.128/2)/100</f>
        <v>5.6399999999999992E-3</v>
      </c>
      <c r="G24" s="9">
        <v>1820000000</v>
      </c>
      <c r="H24">
        <f t="shared" si="25"/>
        <v>3.7257332333967284E-8</v>
      </c>
      <c r="I24">
        <f t="shared" si="26"/>
        <v>8.1208048083429725E-8</v>
      </c>
      <c r="J24">
        <f t="shared" si="27"/>
        <v>1.1058247917452866E-7</v>
      </c>
      <c r="K24">
        <v>1348609700</v>
      </c>
      <c r="L24">
        <v>2095632987.9000001</v>
      </c>
      <c r="M24">
        <v>524854200</v>
      </c>
      <c r="N24">
        <v>1067030100</v>
      </c>
      <c r="O24">
        <v>244295.6</v>
      </c>
      <c r="P24">
        <f>(1.128/2)/100</f>
        <v>5.6399999999999992E-3</v>
      </c>
      <c r="Q24">
        <f>(1.128/100)</f>
        <v>1.1279999999999998E-2</v>
      </c>
      <c r="R24">
        <f t="shared" si="28"/>
        <v>7.9470564383897361E-10</v>
      </c>
      <c r="S24">
        <f t="shared" si="24"/>
        <v>2.5430580602847156E-8</v>
      </c>
      <c r="T24">
        <v>7.5</v>
      </c>
      <c r="U24">
        <f t="shared" si="18"/>
        <v>0.75</v>
      </c>
      <c r="V24">
        <f t="shared" si="19"/>
        <v>0.75</v>
      </c>
      <c r="W24">
        <v>267</v>
      </c>
    </row>
    <row r="25" spans="1:23" x14ac:dyDescent="0.25">
      <c r="A25" s="7" t="s">
        <v>66</v>
      </c>
      <c r="B25">
        <v>1.5610000000000001E-2</v>
      </c>
      <c r="C25">
        <v>3.108E-2</v>
      </c>
      <c r="D25">
        <v>2.81E-2</v>
      </c>
      <c r="E25">
        <f>(0.959/2)/100</f>
        <v>4.7949999999999998E-3</v>
      </c>
      <c r="F25" t="s">
        <v>86</v>
      </c>
      <c r="G25" s="9">
        <v>1820000000</v>
      </c>
      <c r="H25">
        <f>((C25)*((B25)^3))/3</f>
        <v>3.9406554543160003E-8</v>
      </c>
      <c r="I25">
        <f>((B25)*((C25)^3))/3</f>
        <v>1.5621569982144E-7</v>
      </c>
      <c r="J25">
        <f>(((B25*C25*((B25^2)+(C25^2)))/12))</f>
        <v>4.8905563591150009E-8</v>
      </c>
      <c r="K25">
        <v>1348609700</v>
      </c>
      <c r="L25">
        <v>2095632987.9000001</v>
      </c>
      <c r="M25">
        <v>524854200</v>
      </c>
      <c r="N25">
        <v>1067030100</v>
      </c>
      <c r="O25">
        <v>244295.6</v>
      </c>
      <c r="P25">
        <f>(0.959/2)/100</f>
        <v>4.7949999999999998E-3</v>
      </c>
      <c r="Q25">
        <f>(0.959/100)</f>
        <v>9.5899999999999996E-3</v>
      </c>
      <c r="R25">
        <f t="shared" si="28"/>
        <v>4.1518755507282173E-10</v>
      </c>
      <c r="S25">
        <f t="shared" si="24"/>
        <v>1.3286001762330295E-8</v>
      </c>
      <c r="T25">
        <v>7.5</v>
      </c>
      <c r="U25">
        <f t="shared" si="18"/>
        <v>0.75</v>
      </c>
      <c r="V25">
        <f t="shared" si="19"/>
        <v>0.75</v>
      </c>
      <c r="W25">
        <v>272</v>
      </c>
    </row>
    <row r="26" spans="1:23" x14ac:dyDescent="0.25">
      <c r="A26" s="23" t="s">
        <v>157</v>
      </c>
      <c r="B26">
        <v>2.5499999999999998E-2</v>
      </c>
      <c r="C26">
        <v>4.3400000000000001E-2</v>
      </c>
      <c r="D26">
        <v>3.6900000000000002E-2</v>
      </c>
      <c r="E26">
        <v>7.0000000000000001E-3</v>
      </c>
      <c r="G26" s="9">
        <v>1820000000</v>
      </c>
      <c r="H26">
        <f>((C26)*(B26)^3/48)</f>
        <v>1.4992326562499996E-8</v>
      </c>
      <c r="I26">
        <f>((C26^3)*(B26))/36</f>
        <v>5.7903773666666669E-8</v>
      </c>
      <c r="J26">
        <f>(((C26*B26)/144)*((4*(B26^2)+(3*(C26^2)))))</f>
        <v>6.3417598999999994E-8</v>
      </c>
      <c r="K26">
        <v>1348609700</v>
      </c>
      <c r="L26">
        <v>2095632987.9000001</v>
      </c>
      <c r="M26">
        <v>524854200</v>
      </c>
      <c r="N26">
        <v>1067030100</v>
      </c>
      <c r="O26">
        <v>244295.6</v>
      </c>
      <c r="P26">
        <v>7.0000000000000001E-3</v>
      </c>
      <c r="Q26">
        <v>1.4E-2</v>
      </c>
      <c r="R26">
        <f t="shared" ref="R26:R27" si="29">(PI()*(P26^4))/4</f>
        <v>1.885740990317274E-9</v>
      </c>
      <c r="S26">
        <f>(PI()*((2*Q26)^4))/32</f>
        <v>6.0343711690152769E-8</v>
      </c>
      <c r="T26">
        <v>10</v>
      </c>
      <c r="U26">
        <f t="shared" si="18"/>
        <v>1</v>
      </c>
      <c r="V26">
        <f t="shared" si="19"/>
        <v>1</v>
      </c>
      <c r="W26">
        <v>200</v>
      </c>
    </row>
    <row r="27" spans="1:23" x14ac:dyDescent="0.25">
      <c r="A27" s="1" t="s">
        <v>5</v>
      </c>
      <c r="B27">
        <v>2.2599999999999999E-2</v>
      </c>
      <c r="C27">
        <v>2.521E-2</v>
      </c>
      <c r="D27">
        <v>4.7300000000000002E-2</v>
      </c>
      <c r="E27">
        <f>(1.653/100)/2</f>
        <v>8.2649999999999998E-3</v>
      </c>
      <c r="G27" s="9">
        <v>1820000000</v>
      </c>
      <c r="H27">
        <f>((C27)*(B27)^3/48)</f>
        <v>6.0625722283333327E-9</v>
      </c>
      <c r="I27">
        <f>((C27^3)*(B27))/36</f>
        <v>1.0058297466627776E-8</v>
      </c>
      <c r="J27">
        <f>(((C27*B27)/144)*((4*(B27^2)+(3*(C27^2)))))</f>
        <v>1.5627152737748611E-8</v>
      </c>
      <c r="K27">
        <v>1348609700</v>
      </c>
      <c r="L27">
        <v>2095632987.9000001</v>
      </c>
      <c r="M27">
        <v>524854200</v>
      </c>
      <c r="N27">
        <v>1067030100</v>
      </c>
      <c r="O27">
        <v>244295.6</v>
      </c>
      <c r="P27">
        <f>(1.653/100)/2</f>
        <v>8.2649999999999998E-3</v>
      </c>
      <c r="Q27">
        <f>(1.653/100)</f>
        <v>1.653E-2</v>
      </c>
      <c r="R27">
        <f t="shared" si="29"/>
        <v>3.6648931136687439E-9</v>
      </c>
      <c r="S27">
        <f t="shared" ref="S27:S31" si="30">(PI()*((2*Q27)^4))/32</f>
        <v>1.172765796373998E-7</v>
      </c>
      <c r="T27">
        <v>10</v>
      </c>
      <c r="U27">
        <f t="shared" si="18"/>
        <v>1</v>
      </c>
      <c r="V27">
        <f t="shared" si="19"/>
        <v>1</v>
      </c>
      <c r="W27">
        <v>212</v>
      </c>
    </row>
    <row r="28" spans="1:23" x14ac:dyDescent="0.25">
      <c r="A28" s="1" t="s">
        <v>58</v>
      </c>
      <c r="B28">
        <v>2.427E-2</v>
      </c>
      <c r="C28">
        <v>5.2589999999999998E-2</v>
      </c>
      <c r="D28">
        <v>3.5740000000000001E-2</v>
      </c>
      <c r="E28">
        <f>(1.526/2)/100</f>
        <v>7.6300000000000005E-3</v>
      </c>
      <c r="G28" s="9">
        <v>1820000000</v>
      </c>
      <c r="H28">
        <f>((C28)*(B28)^3/48)</f>
        <v>1.5662867081686875E-8</v>
      </c>
      <c r="I28">
        <f>(((C28)^3)*(B28))/36</f>
        <v>9.8056590403342476E-8</v>
      </c>
      <c r="J28">
        <f>(((C28*B28)/144)*((4*(B28^2)+(3*(C28^2)))))</f>
        <v>9.4426265578089355E-8</v>
      </c>
      <c r="K28">
        <v>1348609700</v>
      </c>
      <c r="L28">
        <v>2095632987.9000001</v>
      </c>
      <c r="M28">
        <v>524854200</v>
      </c>
      <c r="N28">
        <v>1067030100</v>
      </c>
      <c r="O28">
        <v>244295.6</v>
      </c>
      <c r="P28">
        <f>(1.526/2)/100</f>
        <v>7.6300000000000005E-3</v>
      </c>
      <c r="Q28">
        <f>(1.526)/100</f>
        <v>1.5260000000000001E-2</v>
      </c>
      <c r="R28">
        <f>(PI()*(P28^4))/4</f>
        <v>2.6618773031550516E-9</v>
      </c>
      <c r="S28">
        <f t="shared" si="30"/>
        <v>8.5180073700961651E-8</v>
      </c>
      <c r="T28">
        <v>10</v>
      </c>
      <c r="U28">
        <f t="shared" si="18"/>
        <v>1</v>
      </c>
      <c r="V28">
        <f t="shared" si="19"/>
        <v>1</v>
      </c>
      <c r="W28">
        <v>212</v>
      </c>
    </row>
    <row r="29" spans="1:23" x14ac:dyDescent="0.25">
      <c r="A29" s="1" t="s">
        <v>59</v>
      </c>
      <c r="B29">
        <v>4.8730000000000002E-2</v>
      </c>
      <c r="C29">
        <v>8.0909999999999996E-2</v>
      </c>
      <c r="D29">
        <v>0.19542000000000001</v>
      </c>
      <c r="E29">
        <f>(1.178/2)/100</f>
        <v>5.8899999999999994E-3</v>
      </c>
      <c r="G29" s="9">
        <v>1820000000</v>
      </c>
      <c r="H29">
        <f t="shared" ref="H29:H30" si="31">((C29)*(B29)^3/48)</f>
        <v>1.9505190575378065E-7</v>
      </c>
      <c r="I29">
        <f t="shared" ref="I29:I30" si="32">(((C29)^3)*(B29))/36</f>
        <v>7.169692243509674E-7</v>
      </c>
      <c r="J29">
        <f t="shared" ref="J29:J30" si="33">(((C29*B29)/144)*((4*(B29^2)+(3*(C29^2)))))</f>
        <v>7.9779612593493309E-7</v>
      </c>
      <c r="K29">
        <v>1348609700</v>
      </c>
      <c r="L29">
        <v>2095632987.9000001</v>
      </c>
      <c r="M29">
        <v>524854200</v>
      </c>
      <c r="N29">
        <v>1067030100</v>
      </c>
      <c r="O29">
        <v>244295.6</v>
      </c>
      <c r="P29">
        <f>(1.178/2)/100</f>
        <v>5.8899999999999994E-3</v>
      </c>
      <c r="Q29">
        <f>(1.178)/100</f>
        <v>1.1779999999999999E-2</v>
      </c>
      <c r="R29">
        <f t="shared" ref="R29:R31" si="34">(PI()*(P29^4))/4</f>
        <v>9.4525952118486823E-10</v>
      </c>
      <c r="S29">
        <f t="shared" si="30"/>
        <v>3.0248304677915783E-8</v>
      </c>
      <c r="T29">
        <v>10</v>
      </c>
      <c r="U29">
        <f t="shared" si="18"/>
        <v>1</v>
      </c>
      <c r="V29">
        <f t="shared" si="19"/>
        <v>1</v>
      </c>
      <c r="W29">
        <v>1162</v>
      </c>
    </row>
    <row r="30" spans="1:23" x14ac:dyDescent="0.25">
      <c r="A30" s="1" t="s">
        <v>65</v>
      </c>
      <c r="B30">
        <v>3.4389999999999997E-2</v>
      </c>
      <c r="C30">
        <v>4.3970000000000002E-2</v>
      </c>
      <c r="D30">
        <v>4.4389999999999999E-2</v>
      </c>
      <c r="E30">
        <f>(1.128/2)/100</f>
        <v>5.6399999999999992E-3</v>
      </c>
      <c r="G30" s="9">
        <v>1820000000</v>
      </c>
      <c r="H30">
        <f t="shared" si="31"/>
        <v>3.7257332333967284E-8</v>
      </c>
      <c r="I30">
        <f t="shared" si="32"/>
        <v>8.1208048083429725E-8</v>
      </c>
      <c r="J30">
        <f t="shared" si="33"/>
        <v>1.1058247917452866E-7</v>
      </c>
      <c r="K30">
        <v>1348609700</v>
      </c>
      <c r="L30">
        <v>2095632987.9000001</v>
      </c>
      <c r="M30">
        <v>524854200</v>
      </c>
      <c r="N30">
        <v>1067030100</v>
      </c>
      <c r="O30">
        <v>244295.6</v>
      </c>
      <c r="P30">
        <f>(1.128/2)/100</f>
        <v>5.6399999999999992E-3</v>
      </c>
      <c r="Q30">
        <f>(1.128/100)</f>
        <v>1.1279999999999998E-2</v>
      </c>
      <c r="R30">
        <f t="shared" si="34"/>
        <v>7.9470564383897361E-10</v>
      </c>
      <c r="S30">
        <f t="shared" si="30"/>
        <v>2.5430580602847156E-8</v>
      </c>
      <c r="T30">
        <v>10</v>
      </c>
      <c r="U30">
        <f t="shared" si="18"/>
        <v>1</v>
      </c>
      <c r="V30">
        <f t="shared" si="19"/>
        <v>1</v>
      </c>
      <c r="W30">
        <v>267</v>
      </c>
    </row>
    <row r="31" spans="1:23" x14ac:dyDescent="0.25">
      <c r="A31" s="7" t="s">
        <v>66</v>
      </c>
      <c r="B31">
        <v>1.5610000000000001E-2</v>
      </c>
      <c r="C31">
        <v>3.108E-2</v>
      </c>
      <c r="D31">
        <v>2.81E-2</v>
      </c>
      <c r="E31">
        <f>(0.959/2)/100</f>
        <v>4.7949999999999998E-3</v>
      </c>
      <c r="F31" t="s">
        <v>86</v>
      </c>
      <c r="G31" s="9">
        <v>1820000000</v>
      </c>
      <c r="H31">
        <f>((C31)*((B31)^3))/3</f>
        <v>3.9406554543160003E-8</v>
      </c>
      <c r="I31">
        <f>((B31)*((C31)^3))/3</f>
        <v>1.5621569982144E-7</v>
      </c>
      <c r="J31">
        <f>(((B31*C31*((B31^2)+(C31^2)))/12))</f>
        <v>4.8905563591150009E-8</v>
      </c>
      <c r="K31">
        <v>1348609700</v>
      </c>
      <c r="L31">
        <v>2095632987.9000001</v>
      </c>
      <c r="M31">
        <v>524854200</v>
      </c>
      <c r="N31">
        <v>1067030100</v>
      </c>
      <c r="O31">
        <v>244295.6</v>
      </c>
      <c r="P31">
        <f>(0.959/2)/100</f>
        <v>4.7949999999999998E-3</v>
      </c>
      <c r="Q31">
        <f>(0.959/100)</f>
        <v>9.5899999999999996E-3</v>
      </c>
      <c r="R31">
        <f t="shared" si="34"/>
        <v>4.1518755507282173E-10</v>
      </c>
      <c r="S31">
        <f t="shared" si="30"/>
        <v>1.3286001762330295E-8</v>
      </c>
      <c r="T31">
        <v>10</v>
      </c>
      <c r="U31">
        <f t="shared" si="18"/>
        <v>1</v>
      </c>
      <c r="V31">
        <f t="shared" si="19"/>
        <v>1</v>
      </c>
      <c r="W31">
        <v>272</v>
      </c>
    </row>
    <row r="32" spans="1:23" x14ac:dyDescent="0.25">
      <c r="A32" s="23" t="s">
        <v>157</v>
      </c>
      <c r="B32">
        <v>2.5499999999999998E-2</v>
      </c>
      <c r="C32">
        <v>4.3400000000000001E-2</v>
      </c>
      <c r="D32">
        <v>3.6900000000000002E-2</v>
      </c>
      <c r="E32">
        <v>7.0000000000000001E-3</v>
      </c>
      <c r="G32" s="9">
        <v>1820000000</v>
      </c>
      <c r="H32">
        <f>((C32)*(B32)^3/48)</f>
        <v>1.4992326562499996E-8</v>
      </c>
      <c r="I32">
        <f>((C32^3)*(B32))/36</f>
        <v>5.7903773666666669E-8</v>
      </c>
      <c r="J32">
        <f>(((C32*B32)/144)*((4*(B32^2)+(3*(C32^2)))))</f>
        <v>6.3417598999999994E-8</v>
      </c>
      <c r="K32">
        <v>1348609700</v>
      </c>
      <c r="L32">
        <v>2095632987.9000001</v>
      </c>
      <c r="M32">
        <v>524854200</v>
      </c>
      <c r="N32">
        <v>1067030100</v>
      </c>
      <c r="O32">
        <v>244295.6</v>
      </c>
      <c r="P32">
        <v>7.0000000000000001E-3</v>
      </c>
      <c r="Q32">
        <v>1.4E-2</v>
      </c>
      <c r="R32">
        <f t="shared" ref="R32:R33" si="35">(PI()*(P32^4))/4</f>
        <v>1.885740990317274E-9</v>
      </c>
      <c r="S32">
        <f>(PI()*((2*Q32)^4))/32</f>
        <v>6.0343711690152769E-8</v>
      </c>
      <c r="T32">
        <v>15</v>
      </c>
      <c r="U32">
        <f t="shared" si="18"/>
        <v>1.5</v>
      </c>
      <c r="V32">
        <f t="shared" si="19"/>
        <v>1.5</v>
      </c>
      <c r="W32">
        <v>200</v>
      </c>
    </row>
    <row r="33" spans="1:23" x14ac:dyDescent="0.25">
      <c r="A33" s="1" t="s">
        <v>5</v>
      </c>
      <c r="B33">
        <v>2.2599999999999999E-2</v>
      </c>
      <c r="C33">
        <v>2.521E-2</v>
      </c>
      <c r="D33">
        <v>4.7300000000000002E-2</v>
      </c>
      <c r="E33">
        <f>(1.653/100)/2</f>
        <v>8.2649999999999998E-3</v>
      </c>
      <c r="G33" s="9">
        <v>1820000000</v>
      </c>
      <c r="H33">
        <f>((C33)*(B33)^3/48)</f>
        <v>6.0625722283333327E-9</v>
      </c>
      <c r="I33">
        <f>((C33^3)*(B33))/36</f>
        <v>1.0058297466627776E-8</v>
      </c>
      <c r="J33">
        <f>(((C33*B33)/144)*((4*(B33^2)+(3*(C33^2)))))</f>
        <v>1.5627152737748611E-8</v>
      </c>
      <c r="K33">
        <v>1348609700</v>
      </c>
      <c r="L33">
        <v>2095632987.9000001</v>
      </c>
      <c r="M33">
        <v>524854200</v>
      </c>
      <c r="N33">
        <v>1067030100</v>
      </c>
      <c r="O33">
        <v>244295.6</v>
      </c>
      <c r="P33">
        <f>(1.653/100)/2</f>
        <v>8.2649999999999998E-3</v>
      </c>
      <c r="Q33">
        <f>(1.653/100)</f>
        <v>1.653E-2</v>
      </c>
      <c r="R33">
        <f t="shared" si="35"/>
        <v>3.6648931136687439E-9</v>
      </c>
      <c r="S33">
        <f t="shared" ref="S33:S37" si="36">(PI()*((2*Q33)^4))/32</f>
        <v>1.172765796373998E-7</v>
      </c>
      <c r="T33">
        <v>15</v>
      </c>
      <c r="U33">
        <f t="shared" si="18"/>
        <v>1.5</v>
      </c>
      <c r="V33">
        <f t="shared" si="19"/>
        <v>1.5</v>
      </c>
      <c r="W33">
        <v>212</v>
      </c>
    </row>
    <row r="34" spans="1:23" x14ac:dyDescent="0.25">
      <c r="A34" s="1" t="s">
        <v>58</v>
      </c>
      <c r="B34">
        <v>2.427E-2</v>
      </c>
      <c r="C34">
        <v>5.2589999999999998E-2</v>
      </c>
      <c r="D34">
        <v>3.5740000000000001E-2</v>
      </c>
      <c r="E34">
        <f>(1.526/2)/100</f>
        <v>7.6300000000000005E-3</v>
      </c>
      <c r="G34" s="9">
        <v>1820000000</v>
      </c>
      <c r="H34">
        <f>((C34)*(B34)^3/48)</f>
        <v>1.5662867081686875E-8</v>
      </c>
      <c r="I34">
        <f>(((C34)^3)*(B34))/36</f>
        <v>9.8056590403342476E-8</v>
      </c>
      <c r="J34">
        <f>(((C34*B34)/144)*((4*(B34^2)+(3*(C34^2)))))</f>
        <v>9.4426265578089355E-8</v>
      </c>
      <c r="K34">
        <v>1348609700</v>
      </c>
      <c r="L34">
        <v>2095632987.9000001</v>
      </c>
      <c r="M34">
        <v>524854200</v>
      </c>
      <c r="N34">
        <v>1067030100</v>
      </c>
      <c r="O34">
        <v>244295.6</v>
      </c>
      <c r="P34">
        <f>(1.526/2)/100</f>
        <v>7.6300000000000005E-3</v>
      </c>
      <c r="Q34">
        <f>(1.526)/100</f>
        <v>1.5260000000000001E-2</v>
      </c>
      <c r="R34">
        <f>(PI()*(P34^4))/4</f>
        <v>2.6618773031550516E-9</v>
      </c>
      <c r="S34">
        <f t="shared" si="36"/>
        <v>8.5180073700961651E-8</v>
      </c>
      <c r="T34">
        <v>15</v>
      </c>
      <c r="U34">
        <f t="shared" si="18"/>
        <v>1.5</v>
      </c>
      <c r="V34">
        <f t="shared" si="19"/>
        <v>1.5</v>
      </c>
      <c r="W34">
        <v>212</v>
      </c>
    </row>
    <row r="35" spans="1:23" x14ac:dyDescent="0.25">
      <c r="A35" s="1" t="s">
        <v>59</v>
      </c>
      <c r="B35">
        <v>4.8730000000000002E-2</v>
      </c>
      <c r="C35">
        <v>8.0909999999999996E-2</v>
      </c>
      <c r="D35">
        <v>0.19542000000000001</v>
      </c>
      <c r="E35">
        <f>(1.178/2)/100</f>
        <v>5.8899999999999994E-3</v>
      </c>
      <c r="G35" s="9">
        <v>1820000000</v>
      </c>
      <c r="H35">
        <f t="shared" ref="H35:H36" si="37">((C35)*(B35)^3/48)</f>
        <v>1.9505190575378065E-7</v>
      </c>
      <c r="I35">
        <f t="shared" ref="I35:I36" si="38">(((C35)^3)*(B35))/36</f>
        <v>7.169692243509674E-7</v>
      </c>
      <c r="J35">
        <f t="shared" ref="J35:J36" si="39">(((C35*B35)/144)*((4*(B35^2)+(3*(C35^2)))))</f>
        <v>7.9779612593493309E-7</v>
      </c>
      <c r="K35">
        <v>1348609700</v>
      </c>
      <c r="L35">
        <v>2095632987.9000001</v>
      </c>
      <c r="M35">
        <v>524854200</v>
      </c>
      <c r="N35">
        <v>1067030100</v>
      </c>
      <c r="O35">
        <v>244295.6</v>
      </c>
      <c r="P35">
        <f>(1.178/2)/100</f>
        <v>5.8899999999999994E-3</v>
      </c>
      <c r="Q35">
        <f>(1.178)/100</f>
        <v>1.1779999999999999E-2</v>
      </c>
      <c r="R35">
        <f t="shared" ref="R35:R37" si="40">(PI()*(P35^4))/4</f>
        <v>9.4525952118486823E-10</v>
      </c>
      <c r="S35">
        <f t="shared" si="36"/>
        <v>3.0248304677915783E-8</v>
      </c>
      <c r="T35">
        <v>15</v>
      </c>
      <c r="U35">
        <f t="shared" si="18"/>
        <v>1.5</v>
      </c>
      <c r="V35">
        <f t="shared" si="19"/>
        <v>1.5</v>
      </c>
      <c r="W35">
        <v>1162</v>
      </c>
    </row>
    <row r="36" spans="1:23" x14ac:dyDescent="0.25">
      <c r="A36" s="1" t="s">
        <v>65</v>
      </c>
      <c r="B36">
        <v>3.4389999999999997E-2</v>
      </c>
      <c r="C36">
        <v>4.3970000000000002E-2</v>
      </c>
      <c r="D36">
        <v>4.4389999999999999E-2</v>
      </c>
      <c r="E36">
        <f>(1.128/2)/100</f>
        <v>5.6399999999999992E-3</v>
      </c>
      <c r="G36" s="9">
        <v>1820000000</v>
      </c>
      <c r="H36">
        <f t="shared" si="37"/>
        <v>3.7257332333967284E-8</v>
      </c>
      <c r="I36">
        <f t="shared" si="38"/>
        <v>8.1208048083429725E-8</v>
      </c>
      <c r="J36">
        <f t="shared" si="39"/>
        <v>1.1058247917452866E-7</v>
      </c>
      <c r="K36">
        <v>1348609700</v>
      </c>
      <c r="L36">
        <v>2095632987.9000001</v>
      </c>
      <c r="M36">
        <v>524854200</v>
      </c>
      <c r="N36">
        <v>1067030100</v>
      </c>
      <c r="O36">
        <v>244295.6</v>
      </c>
      <c r="P36">
        <f>(1.128/2)/100</f>
        <v>5.6399999999999992E-3</v>
      </c>
      <c r="Q36">
        <f>(1.128/100)</f>
        <v>1.1279999999999998E-2</v>
      </c>
      <c r="R36">
        <f t="shared" si="40"/>
        <v>7.9470564383897361E-10</v>
      </c>
      <c r="S36">
        <f t="shared" si="36"/>
        <v>2.5430580602847156E-8</v>
      </c>
      <c r="T36">
        <v>15</v>
      </c>
      <c r="U36">
        <f t="shared" si="18"/>
        <v>1.5</v>
      </c>
      <c r="V36">
        <f t="shared" si="19"/>
        <v>1.5</v>
      </c>
      <c r="W36">
        <v>267</v>
      </c>
    </row>
    <row r="37" spans="1:23" x14ac:dyDescent="0.25">
      <c r="A37" s="7" t="s">
        <v>66</v>
      </c>
      <c r="B37">
        <v>1.5610000000000001E-2</v>
      </c>
      <c r="C37">
        <v>3.108E-2</v>
      </c>
      <c r="D37">
        <v>2.81E-2</v>
      </c>
      <c r="E37">
        <f>(0.959/2)/100</f>
        <v>4.7949999999999998E-3</v>
      </c>
      <c r="F37" t="s">
        <v>86</v>
      </c>
      <c r="G37" s="9">
        <v>1820000000</v>
      </c>
      <c r="H37">
        <f>((C37)*((B37)^3))/3</f>
        <v>3.9406554543160003E-8</v>
      </c>
      <c r="I37">
        <f>((B37)*((C37)^3))/3</f>
        <v>1.5621569982144E-7</v>
      </c>
      <c r="J37">
        <f>(((B37*C37*((B37^2)+(C37^2)))/12))</f>
        <v>4.8905563591150009E-8</v>
      </c>
      <c r="K37">
        <v>1348609700</v>
      </c>
      <c r="L37">
        <v>2095632987.9000001</v>
      </c>
      <c r="M37">
        <v>524854200</v>
      </c>
      <c r="N37">
        <v>1067030100</v>
      </c>
      <c r="O37">
        <v>244295.6</v>
      </c>
      <c r="P37">
        <f>(0.959/2)/100</f>
        <v>4.7949999999999998E-3</v>
      </c>
      <c r="Q37">
        <f>(0.959/100)</f>
        <v>9.5899999999999996E-3</v>
      </c>
      <c r="R37">
        <f t="shared" si="40"/>
        <v>4.1518755507282173E-10</v>
      </c>
      <c r="S37">
        <f t="shared" si="36"/>
        <v>1.3286001762330295E-8</v>
      </c>
      <c r="T37">
        <v>15</v>
      </c>
      <c r="U37">
        <f t="shared" si="18"/>
        <v>1.5</v>
      </c>
      <c r="V37">
        <f t="shared" si="19"/>
        <v>1.5</v>
      </c>
      <c r="W37">
        <v>272</v>
      </c>
    </row>
    <row r="38" spans="1:23" x14ac:dyDescent="0.25">
      <c r="A38" s="23" t="s">
        <v>157</v>
      </c>
      <c r="B38">
        <v>2.5499999999999998E-2</v>
      </c>
      <c r="C38">
        <v>4.3400000000000001E-2</v>
      </c>
      <c r="D38">
        <v>3.6900000000000002E-2</v>
      </c>
      <c r="E38">
        <v>7.0000000000000001E-3</v>
      </c>
      <c r="G38" s="9">
        <v>1820000000</v>
      </c>
      <c r="H38">
        <f>((C38)*(B38)^3/48)</f>
        <v>1.4992326562499996E-8</v>
      </c>
      <c r="I38">
        <f>((C38^3)*(B38))/36</f>
        <v>5.7903773666666669E-8</v>
      </c>
      <c r="J38">
        <f>(((C38*B38)/144)*((4*(B38^2)+(3*(C38^2)))))</f>
        <v>6.3417598999999994E-8</v>
      </c>
      <c r="K38">
        <v>1348609700</v>
      </c>
      <c r="L38">
        <v>2095632987.9000001</v>
      </c>
      <c r="M38">
        <v>524854200</v>
      </c>
      <c r="N38">
        <v>1067030100</v>
      </c>
      <c r="O38">
        <v>244295.6</v>
      </c>
      <c r="P38">
        <v>7.0000000000000001E-3</v>
      </c>
      <c r="Q38">
        <v>1.4E-2</v>
      </c>
      <c r="R38">
        <f t="shared" ref="R38:R39" si="41">(PI()*(P38^4))/4</f>
        <v>1.885740990317274E-9</v>
      </c>
      <c r="S38">
        <f>(PI()*((2*Q38)^4))/32</f>
        <v>6.0343711690152769E-8</v>
      </c>
      <c r="T38">
        <v>20</v>
      </c>
      <c r="U38">
        <f t="shared" si="18"/>
        <v>2</v>
      </c>
      <c r="V38">
        <f t="shared" si="19"/>
        <v>2</v>
      </c>
      <c r="W38">
        <v>200</v>
      </c>
    </row>
    <row r="39" spans="1:23" x14ac:dyDescent="0.25">
      <c r="A39" s="1" t="s">
        <v>5</v>
      </c>
      <c r="B39">
        <v>2.2599999999999999E-2</v>
      </c>
      <c r="C39">
        <v>2.521E-2</v>
      </c>
      <c r="D39">
        <v>4.7300000000000002E-2</v>
      </c>
      <c r="E39">
        <f>(1.653/100)/2</f>
        <v>8.2649999999999998E-3</v>
      </c>
      <c r="G39" s="9">
        <v>1820000000</v>
      </c>
      <c r="H39">
        <f>((C39)*(B39)^3/48)</f>
        <v>6.0625722283333327E-9</v>
      </c>
      <c r="I39">
        <f>((C39^3)*(B39))/36</f>
        <v>1.0058297466627776E-8</v>
      </c>
      <c r="J39">
        <f>(((C39*B39)/144)*((4*(B39^2)+(3*(C39^2)))))</f>
        <v>1.5627152737748611E-8</v>
      </c>
      <c r="K39">
        <v>1348609700</v>
      </c>
      <c r="L39">
        <v>2095632987.9000001</v>
      </c>
      <c r="M39">
        <v>524854200</v>
      </c>
      <c r="N39">
        <v>1067030100</v>
      </c>
      <c r="O39">
        <v>244295.6</v>
      </c>
      <c r="P39">
        <f>(1.653/100)/2</f>
        <v>8.2649999999999998E-3</v>
      </c>
      <c r="Q39">
        <f>(1.653/100)</f>
        <v>1.653E-2</v>
      </c>
      <c r="R39">
        <f t="shared" si="41"/>
        <v>3.6648931136687439E-9</v>
      </c>
      <c r="S39">
        <f t="shared" ref="S39:S43" si="42">(PI()*((2*Q39)^4))/32</f>
        <v>1.172765796373998E-7</v>
      </c>
      <c r="T39">
        <v>20</v>
      </c>
      <c r="U39">
        <f t="shared" si="18"/>
        <v>2</v>
      </c>
      <c r="V39">
        <f t="shared" si="19"/>
        <v>2</v>
      </c>
      <c r="W39">
        <v>212</v>
      </c>
    </row>
    <row r="40" spans="1:23" x14ac:dyDescent="0.25">
      <c r="A40" s="1" t="s">
        <v>58</v>
      </c>
      <c r="B40">
        <v>2.427E-2</v>
      </c>
      <c r="C40">
        <v>5.2589999999999998E-2</v>
      </c>
      <c r="D40">
        <v>3.5740000000000001E-2</v>
      </c>
      <c r="E40">
        <f>(1.526/2)/100</f>
        <v>7.6300000000000005E-3</v>
      </c>
      <c r="G40" s="9">
        <v>1820000000</v>
      </c>
      <c r="H40">
        <f>((C40)*(B40)^3/48)</f>
        <v>1.5662867081686875E-8</v>
      </c>
      <c r="I40">
        <f>(((C40)^3)*(B40))/36</f>
        <v>9.8056590403342476E-8</v>
      </c>
      <c r="J40">
        <f>(((C40*B40)/144)*((4*(B40^2)+(3*(C40^2)))))</f>
        <v>9.4426265578089355E-8</v>
      </c>
      <c r="K40">
        <v>1348609700</v>
      </c>
      <c r="L40">
        <v>2095632987.9000001</v>
      </c>
      <c r="M40">
        <v>524854200</v>
      </c>
      <c r="N40">
        <v>1067030100</v>
      </c>
      <c r="O40">
        <v>244295.6</v>
      </c>
      <c r="P40">
        <f>(1.526/2)/100</f>
        <v>7.6300000000000005E-3</v>
      </c>
      <c r="Q40">
        <f>(1.526)/100</f>
        <v>1.5260000000000001E-2</v>
      </c>
      <c r="R40">
        <f>(PI()*(P40^4))/4</f>
        <v>2.6618773031550516E-9</v>
      </c>
      <c r="S40">
        <f t="shared" si="42"/>
        <v>8.5180073700961651E-8</v>
      </c>
      <c r="T40">
        <v>20</v>
      </c>
      <c r="U40">
        <f t="shared" si="18"/>
        <v>2</v>
      </c>
      <c r="V40">
        <f t="shared" si="19"/>
        <v>2</v>
      </c>
      <c r="W40">
        <v>212</v>
      </c>
    </row>
    <row r="41" spans="1:23" x14ac:dyDescent="0.25">
      <c r="A41" s="1" t="s">
        <v>59</v>
      </c>
      <c r="B41">
        <v>4.8730000000000002E-2</v>
      </c>
      <c r="C41">
        <v>8.0909999999999996E-2</v>
      </c>
      <c r="D41">
        <v>0.19542000000000001</v>
      </c>
      <c r="E41">
        <f>(1.178/2)/100</f>
        <v>5.8899999999999994E-3</v>
      </c>
      <c r="G41" s="9">
        <v>1820000000</v>
      </c>
      <c r="H41">
        <f t="shared" ref="H41:H42" si="43">((C41)*(B41)^3/48)</f>
        <v>1.9505190575378065E-7</v>
      </c>
      <c r="I41">
        <f t="shared" ref="I41:I42" si="44">(((C41)^3)*(B41))/36</f>
        <v>7.169692243509674E-7</v>
      </c>
      <c r="J41">
        <f t="shared" ref="J41:J42" si="45">(((C41*B41)/144)*((4*(B41^2)+(3*(C41^2)))))</f>
        <v>7.9779612593493309E-7</v>
      </c>
      <c r="K41">
        <v>1348609700</v>
      </c>
      <c r="L41">
        <v>2095632987.9000001</v>
      </c>
      <c r="M41">
        <v>524854200</v>
      </c>
      <c r="N41">
        <v>1067030100</v>
      </c>
      <c r="O41">
        <v>244295.6</v>
      </c>
      <c r="P41">
        <f>(1.178/2)/100</f>
        <v>5.8899999999999994E-3</v>
      </c>
      <c r="Q41">
        <f>(1.178)/100</f>
        <v>1.1779999999999999E-2</v>
      </c>
      <c r="R41">
        <f t="shared" ref="R41:R43" si="46">(PI()*(P41^4))/4</f>
        <v>9.4525952118486823E-10</v>
      </c>
      <c r="S41">
        <f t="shared" si="42"/>
        <v>3.0248304677915783E-8</v>
      </c>
      <c r="T41">
        <v>20</v>
      </c>
      <c r="U41">
        <f t="shared" si="18"/>
        <v>2</v>
      </c>
      <c r="V41">
        <f t="shared" si="19"/>
        <v>2</v>
      </c>
      <c r="W41">
        <v>1162</v>
      </c>
    </row>
    <row r="42" spans="1:23" x14ac:dyDescent="0.25">
      <c r="A42" s="1" t="s">
        <v>65</v>
      </c>
      <c r="B42">
        <v>3.4389999999999997E-2</v>
      </c>
      <c r="C42">
        <v>4.3970000000000002E-2</v>
      </c>
      <c r="D42">
        <v>4.4389999999999999E-2</v>
      </c>
      <c r="E42">
        <f>(1.128/2)/100</f>
        <v>5.6399999999999992E-3</v>
      </c>
      <c r="G42" s="9">
        <v>1820000000</v>
      </c>
      <c r="H42">
        <f t="shared" si="43"/>
        <v>3.7257332333967284E-8</v>
      </c>
      <c r="I42">
        <f t="shared" si="44"/>
        <v>8.1208048083429725E-8</v>
      </c>
      <c r="J42">
        <f t="shared" si="45"/>
        <v>1.1058247917452866E-7</v>
      </c>
      <c r="K42">
        <v>1348609700</v>
      </c>
      <c r="L42">
        <v>2095632987.9000001</v>
      </c>
      <c r="M42">
        <v>524854200</v>
      </c>
      <c r="N42">
        <v>1067030100</v>
      </c>
      <c r="O42">
        <v>244295.6</v>
      </c>
      <c r="P42">
        <f>(1.128/2)/100</f>
        <v>5.6399999999999992E-3</v>
      </c>
      <c r="Q42">
        <f>(1.128/100)</f>
        <v>1.1279999999999998E-2</v>
      </c>
      <c r="R42">
        <f t="shared" si="46"/>
        <v>7.9470564383897361E-10</v>
      </c>
      <c r="S42">
        <f t="shared" si="42"/>
        <v>2.5430580602847156E-8</v>
      </c>
      <c r="T42">
        <v>20</v>
      </c>
      <c r="U42">
        <f t="shared" si="18"/>
        <v>2</v>
      </c>
      <c r="V42">
        <f t="shared" si="19"/>
        <v>2</v>
      </c>
      <c r="W42">
        <v>267</v>
      </c>
    </row>
    <row r="43" spans="1:23" x14ac:dyDescent="0.25">
      <c r="A43" s="7" t="s">
        <v>66</v>
      </c>
      <c r="B43">
        <v>1.5610000000000001E-2</v>
      </c>
      <c r="C43">
        <v>3.108E-2</v>
      </c>
      <c r="D43">
        <v>2.81E-2</v>
      </c>
      <c r="E43">
        <f>(0.959/2)/100</f>
        <v>4.7949999999999998E-3</v>
      </c>
      <c r="F43" t="s">
        <v>86</v>
      </c>
      <c r="G43" s="9">
        <v>1820000000</v>
      </c>
      <c r="H43">
        <f>((C43)*((B43)^3))/3</f>
        <v>3.9406554543160003E-8</v>
      </c>
      <c r="I43">
        <f>((B43)*((C43)^3))/3</f>
        <v>1.5621569982144E-7</v>
      </c>
      <c r="J43">
        <f>(((B43*C43*((B43^2)+(C43^2)))/12))</f>
        <v>4.8905563591150009E-8</v>
      </c>
      <c r="K43">
        <v>1348609700</v>
      </c>
      <c r="L43">
        <v>2095632987.9000001</v>
      </c>
      <c r="M43">
        <v>524854200</v>
      </c>
      <c r="N43">
        <v>1067030100</v>
      </c>
      <c r="O43">
        <v>244295.6</v>
      </c>
      <c r="P43">
        <f>(0.959/2)/100</f>
        <v>4.7949999999999998E-3</v>
      </c>
      <c r="Q43">
        <f>(0.959/100)</f>
        <v>9.5899999999999996E-3</v>
      </c>
      <c r="R43">
        <f t="shared" si="46"/>
        <v>4.1518755507282173E-10</v>
      </c>
      <c r="S43">
        <f t="shared" si="42"/>
        <v>1.3286001762330295E-8</v>
      </c>
      <c r="T43">
        <v>20</v>
      </c>
      <c r="U43">
        <f t="shared" si="18"/>
        <v>2</v>
      </c>
      <c r="V43">
        <f t="shared" si="19"/>
        <v>2</v>
      </c>
      <c r="W43">
        <v>272</v>
      </c>
    </row>
    <row r="44" spans="1:23" x14ac:dyDescent="0.25">
      <c r="A44" s="23" t="s">
        <v>157</v>
      </c>
      <c r="B44">
        <v>2.5499999999999998E-2</v>
      </c>
      <c r="C44">
        <v>4.3400000000000001E-2</v>
      </c>
      <c r="D44">
        <v>3.6900000000000002E-2</v>
      </c>
      <c r="E44">
        <v>7.0000000000000001E-3</v>
      </c>
      <c r="G44" s="9">
        <v>1820000000</v>
      </c>
      <c r="H44">
        <f>((C44)*(B44)^3/48)</f>
        <v>1.4992326562499996E-8</v>
      </c>
      <c r="I44">
        <f>((C44^3)*(B44))/36</f>
        <v>5.7903773666666669E-8</v>
      </c>
      <c r="J44">
        <f>(((C44*B44)/144)*((4*(B44^2)+(3*(C44^2)))))</f>
        <v>6.3417598999999994E-8</v>
      </c>
      <c r="K44">
        <v>1348609700</v>
      </c>
      <c r="L44">
        <v>2095632987.9000001</v>
      </c>
      <c r="M44">
        <v>524854200</v>
      </c>
      <c r="N44">
        <v>1067030100</v>
      </c>
      <c r="O44">
        <v>244295.6</v>
      </c>
      <c r="P44">
        <v>7.0000000000000001E-3</v>
      </c>
      <c r="Q44">
        <v>1.4E-2</v>
      </c>
      <c r="R44">
        <f t="shared" ref="R44:R45" si="47">(PI()*(P44^4))/4</f>
        <v>1.885740990317274E-9</v>
      </c>
      <c r="S44">
        <f>(PI()*((2*Q44)^4))/32</f>
        <v>6.0343711690152769E-8</v>
      </c>
      <c r="T44">
        <v>25</v>
      </c>
      <c r="U44">
        <f t="shared" si="18"/>
        <v>2.5</v>
      </c>
      <c r="V44">
        <f t="shared" si="19"/>
        <v>2.5</v>
      </c>
      <c r="W44">
        <v>200</v>
      </c>
    </row>
    <row r="45" spans="1:23" x14ac:dyDescent="0.25">
      <c r="A45" s="1" t="s">
        <v>5</v>
      </c>
      <c r="B45">
        <v>2.2599999999999999E-2</v>
      </c>
      <c r="C45">
        <v>2.521E-2</v>
      </c>
      <c r="D45">
        <v>4.7300000000000002E-2</v>
      </c>
      <c r="E45">
        <f>(1.653/100)/2</f>
        <v>8.2649999999999998E-3</v>
      </c>
      <c r="G45" s="9">
        <v>1820000000</v>
      </c>
      <c r="H45">
        <f>((C45)*(B45)^3/48)</f>
        <v>6.0625722283333327E-9</v>
      </c>
      <c r="I45">
        <f>((C45^3)*(B45))/36</f>
        <v>1.0058297466627776E-8</v>
      </c>
      <c r="J45">
        <f>(((C45*B45)/144)*((4*(B45^2)+(3*(C45^2)))))</f>
        <v>1.5627152737748611E-8</v>
      </c>
      <c r="K45">
        <v>1348609700</v>
      </c>
      <c r="L45">
        <v>2095632987.9000001</v>
      </c>
      <c r="M45">
        <v>524854200</v>
      </c>
      <c r="N45">
        <v>1067030100</v>
      </c>
      <c r="O45">
        <v>244295.6</v>
      </c>
      <c r="P45">
        <f>(1.653/100)/2</f>
        <v>8.2649999999999998E-3</v>
      </c>
      <c r="Q45">
        <f>(1.653/100)</f>
        <v>1.653E-2</v>
      </c>
      <c r="R45">
        <f t="shared" si="47"/>
        <v>3.6648931136687439E-9</v>
      </c>
      <c r="S45">
        <f t="shared" ref="S45:S49" si="48">(PI()*((2*Q45)^4))/32</f>
        <v>1.172765796373998E-7</v>
      </c>
      <c r="T45">
        <v>25</v>
      </c>
      <c r="U45">
        <f t="shared" si="18"/>
        <v>2.5</v>
      </c>
      <c r="V45">
        <f t="shared" si="19"/>
        <v>2.5</v>
      </c>
      <c r="W45">
        <v>212</v>
      </c>
    </row>
    <row r="46" spans="1:23" x14ac:dyDescent="0.25">
      <c r="A46" s="1" t="s">
        <v>58</v>
      </c>
      <c r="B46">
        <v>2.427E-2</v>
      </c>
      <c r="C46">
        <v>5.2589999999999998E-2</v>
      </c>
      <c r="D46">
        <v>3.5740000000000001E-2</v>
      </c>
      <c r="E46">
        <f>(1.526/2)/100</f>
        <v>7.6300000000000005E-3</v>
      </c>
      <c r="G46" s="9">
        <v>1820000000</v>
      </c>
      <c r="H46">
        <f>((C46)*(B46)^3/48)</f>
        <v>1.5662867081686875E-8</v>
      </c>
      <c r="I46">
        <f>(((C46)^3)*(B46))/36</f>
        <v>9.8056590403342476E-8</v>
      </c>
      <c r="J46">
        <f>(((C46*B46)/144)*((4*(B46^2)+(3*(C46^2)))))</f>
        <v>9.4426265578089355E-8</v>
      </c>
      <c r="K46">
        <v>1348609700</v>
      </c>
      <c r="L46">
        <v>2095632987.9000001</v>
      </c>
      <c r="M46">
        <v>524854200</v>
      </c>
      <c r="N46">
        <v>1067030100</v>
      </c>
      <c r="O46">
        <v>244295.6</v>
      </c>
      <c r="P46">
        <f>(1.526/2)/100</f>
        <v>7.6300000000000005E-3</v>
      </c>
      <c r="Q46">
        <f>(1.526)/100</f>
        <v>1.5260000000000001E-2</v>
      </c>
      <c r="R46">
        <f>(PI()*(P46^4))/4</f>
        <v>2.6618773031550516E-9</v>
      </c>
      <c r="S46">
        <f t="shared" si="48"/>
        <v>8.5180073700961651E-8</v>
      </c>
      <c r="T46">
        <v>25</v>
      </c>
      <c r="U46">
        <f t="shared" si="18"/>
        <v>2.5</v>
      </c>
      <c r="V46">
        <f t="shared" si="19"/>
        <v>2.5</v>
      </c>
      <c r="W46">
        <v>212</v>
      </c>
    </row>
    <row r="47" spans="1:23" x14ac:dyDescent="0.25">
      <c r="A47" s="1" t="s">
        <v>59</v>
      </c>
      <c r="B47">
        <v>4.8730000000000002E-2</v>
      </c>
      <c r="C47">
        <v>8.0909999999999996E-2</v>
      </c>
      <c r="D47">
        <v>0.19542000000000001</v>
      </c>
      <c r="E47">
        <f>(1.178/2)/100</f>
        <v>5.8899999999999994E-3</v>
      </c>
      <c r="G47" s="9">
        <v>1820000000</v>
      </c>
      <c r="H47">
        <f t="shared" ref="H47:H48" si="49">((C47)*(B47)^3/48)</f>
        <v>1.9505190575378065E-7</v>
      </c>
      <c r="I47">
        <f t="shared" ref="I47:I48" si="50">(((C47)^3)*(B47))/36</f>
        <v>7.169692243509674E-7</v>
      </c>
      <c r="J47">
        <f t="shared" ref="J47:J48" si="51">(((C47*B47)/144)*((4*(B47^2)+(3*(C47^2)))))</f>
        <v>7.9779612593493309E-7</v>
      </c>
      <c r="K47">
        <v>1348609700</v>
      </c>
      <c r="L47">
        <v>2095632987.9000001</v>
      </c>
      <c r="M47">
        <v>524854200</v>
      </c>
      <c r="N47">
        <v>1067030100</v>
      </c>
      <c r="O47">
        <v>244295.6</v>
      </c>
      <c r="P47">
        <f>(1.178/2)/100</f>
        <v>5.8899999999999994E-3</v>
      </c>
      <c r="Q47">
        <f>(1.178)/100</f>
        <v>1.1779999999999999E-2</v>
      </c>
      <c r="R47">
        <f t="shared" ref="R47:R49" si="52">(PI()*(P47^4))/4</f>
        <v>9.4525952118486823E-10</v>
      </c>
      <c r="S47">
        <f t="shared" si="48"/>
        <v>3.0248304677915783E-8</v>
      </c>
      <c r="T47">
        <v>25</v>
      </c>
      <c r="U47">
        <f t="shared" si="18"/>
        <v>2.5</v>
      </c>
      <c r="V47">
        <f t="shared" si="19"/>
        <v>2.5</v>
      </c>
      <c r="W47">
        <v>1162</v>
      </c>
    </row>
    <row r="48" spans="1:23" x14ac:dyDescent="0.25">
      <c r="A48" s="1" t="s">
        <v>65</v>
      </c>
      <c r="B48">
        <v>3.4389999999999997E-2</v>
      </c>
      <c r="C48">
        <v>4.3970000000000002E-2</v>
      </c>
      <c r="D48">
        <v>4.4389999999999999E-2</v>
      </c>
      <c r="E48">
        <f>(1.128/2)/100</f>
        <v>5.6399999999999992E-3</v>
      </c>
      <c r="G48" s="9">
        <v>1820000000</v>
      </c>
      <c r="H48">
        <f t="shared" si="49"/>
        <v>3.7257332333967284E-8</v>
      </c>
      <c r="I48">
        <f t="shared" si="50"/>
        <v>8.1208048083429725E-8</v>
      </c>
      <c r="J48">
        <f t="shared" si="51"/>
        <v>1.1058247917452866E-7</v>
      </c>
      <c r="K48">
        <v>1348609700</v>
      </c>
      <c r="L48">
        <v>2095632987.9000001</v>
      </c>
      <c r="M48">
        <v>524854200</v>
      </c>
      <c r="N48">
        <v>1067030100</v>
      </c>
      <c r="O48">
        <v>244295.6</v>
      </c>
      <c r="P48">
        <f>(1.128/2)/100</f>
        <v>5.6399999999999992E-3</v>
      </c>
      <c r="Q48">
        <f>(1.128/100)</f>
        <v>1.1279999999999998E-2</v>
      </c>
      <c r="R48">
        <f t="shared" si="52"/>
        <v>7.9470564383897361E-10</v>
      </c>
      <c r="S48">
        <f t="shared" si="48"/>
        <v>2.5430580602847156E-8</v>
      </c>
      <c r="T48">
        <v>25</v>
      </c>
      <c r="U48">
        <f t="shared" si="18"/>
        <v>2.5</v>
      </c>
      <c r="V48">
        <f t="shared" si="19"/>
        <v>2.5</v>
      </c>
      <c r="W48">
        <v>267</v>
      </c>
    </row>
    <row r="49" spans="1:23" x14ac:dyDescent="0.25">
      <c r="A49" s="7" t="s">
        <v>66</v>
      </c>
      <c r="B49">
        <v>1.5610000000000001E-2</v>
      </c>
      <c r="C49">
        <v>3.108E-2</v>
      </c>
      <c r="D49">
        <v>2.81E-2</v>
      </c>
      <c r="E49">
        <f>(0.959/2)/100</f>
        <v>4.7949999999999998E-3</v>
      </c>
      <c r="F49" t="s">
        <v>86</v>
      </c>
      <c r="G49" s="9">
        <v>1820000000</v>
      </c>
      <c r="H49">
        <f>((C49)*((B49)^3))/3</f>
        <v>3.9406554543160003E-8</v>
      </c>
      <c r="I49">
        <f>((B49)*((C49)^3))/3</f>
        <v>1.5621569982144E-7</v>
      </c>
      <c r="J49">
        <f>(((B49*C49*((B49^2)+(C49^2)))/12))</f>
        <v>4.8905563591150009E-8</v>
      </c>
      <c r="K49">
        <v>1348609700</v>
      </c>
      <c r="L49">
        <v>2095632987.9000001</v>
      </c>
      <c r="M49">
        <v>524854200</v>
      </c>
      <c r="N49">
        <v>1067030100</v>
      </c>
      <c r="O49">
        <v>244295.6</v>
      </c>
      <c r="P49">
        <f>(0.959/2)/100</f>
        <v>4.7949999999999998E-3</v>
      </c>
      <c r="Q49">
        <f>(0.959/100)</f>
        <v>9.5899999999999996E-3</v>
      </c>
      <c r="R49">
        <f t="shared" si="52"/>
        <v>4.1518755507282173E-10</v>
      </c>
      <c r="S49">
        <f t="shared" si="48"/>
        <v>1.3286001762330295E-8</v>
      </c>
      <c r="T49">
        <v>25</v>
      </c>
      <c r="U49">
        <f t="shared" si="18"/>
        <v>2.5</v>
      </c>
      <c r="V49">
        <f t="shared" si="19"/>
        <v>2.5</v>
      </c>
      <c r="W49">
        <v>272</v>
      </c>
    </row>
    <row r="50" spans="1:23" x14ac:dyDescent="0.25">
      <c r="A50" s="23" t="s">
        <v>157</v>
      </c>
      <c r="B50">
        <v>2.5499999999999998E-2</v>
      </c>
      <c r="C50">
        <v>4.3400000000000001E-2</v>
      </c>
      <c r="D50">
        <v>3.6900000000000002E-2</v>
      </c>
      <c r="E50">
        <v>7.0000000000000001E-3</v>
      </c>
      <c r="G50" s="9">
        <v>1820000000</v>
      </c>
      <c r="H50">
        <f>((C50)*(B50)^3/48)</f>
        <v>1.4992326562499996E-8</v>
      </c>
      <c r="I50">
        <f>((C50^3)*(B50))/36</f>
        <v>5.7903773666666669E-8</v>
      </c>
      <c r="J50">
        <f>(((C50*B50)/144)*((4*(B50^2)+(3*(C50^2)))))</f>
        <v>6.3417598999999994E-8</v>
      </c>
      <c r="K50">
        <v>1348609700</v>
      </c>
      <c r="L50">
        <v>2095632987.9000001</v>
      </c>
      <c r="M50">
        <v>524854200</v>
      </c>
      <c r="N50">
        <v>1067030100</v>
      </c>
      <c r="O50">
        <v>244295.6</v>
      </c>
      <c r="P50">
        <v>7.0000000000000001E-3</v>
      </c>
      <c r="Q50">
        <v>1.4E-2</v>
      </c>
      <c r="R50">
        <f t="shared" ref="R50:R51" si="53">(PI()*(P50^4))/4</f>
        <v>1.885740990317274E-9</v>
      </c>
      <c r="S50">
        <f>(PI()*((2*Q50)^4))/32</f>
        <v>6.0343711690152769E-8</v>
      </c>
      <c r="T50">
        <v>30</v>
      </c>
      <c r="U50">
        <f t="shared" si="18"/>
        <v>3</v>
      </c>
      <c r="V50">
        <f t="shared" si="19"/>
        <v>3</v>
      </c>
      <c r="W50">
        <v>200</v>
      </c>
    </row>
    <row r="51" spans="1:23" x14ac:dyDescent="0.25">
      <c r="A51" s="1" t="s">
        <v>5</v>
      </c>
      <c r="B51">
        <v>2.2599999999999999E-2</v>
      </c>
      <c r="C51">
        <v>2.521E-2</v>
      </c>
      <c r="D51">
        <v>4.7300000000000002E-2</v>
      </c>
      <c r="E51">
        <f>(1.653/100)/2</f>
        <v>8.2649999999999998E-3</v>
      </c>
      <c r="G51" s="9">
        <v>1820000000</v>
      </c>
      <c r="H51">
        <f>((C51)*(B51)^3/48)</f>
        <v>6.0625722283333327E-9</v>
      </c>
      <c r="I51">
        <f>((C51^3)*(B51))/36</f>
        <v>1.0058297466627776E-8</v>
      </c>
      <c r="J51">
        <f>(((C51*B51)/144)*((4*(B51^2)+(3*(C51^2)))))</f>
        <v>1.5627152737748611E-8</v>
      </c>
      <c r="K51">
        <v>1348609700</v>
      </c>
      <c r="L51">
        <v>2095632987.9000001</v>
      </c>
      <c r="M51">
        <v>524854200</v>
      </c>
      <c r="N51">
        <v>1067030100</v>
      </c>
      <c r="O51">
        <v>244295.6</v>
      </c>
      <c r="P51">
        <f>(1.653/100)/2</f>
        <v>8.2649999999999998E-3</v>
      </c>
      <c r="Q51">
        <f>(1.653/100)</f>
        <v>1.653E-2</v>
      </c>
      <c r="R51">
        <f t="shared" si="53"/>
        <v>3.6648931136687439E-9</v>
      </c>
      <c r="S51">
        <f t="shared" ref="S51:S55" si="54">(PI()*((2*Q51)^4))/32</f>
        <v>1.172765796373998E-7</v>
      </c>
      <c r="T51">
        <v>30</v>
      </c>
      <c r="U51">
        <f t="shared" si="18"/>
        <v>3</v>
      </c>
      <c r="V51">
        <f t="shared" si="19"/>
        <v>3</v>
      </c>
      <c r="W51">
        <v>212</v>
      </c>
    </row>
    <row r="52" spans="1:23" x14ac:dyDescent="0.25">
      <c r="A52" s="1" t="s">
        <v>58</v>
      </c>
      <c r="B52">
        <v>2.427E-2</v>
      </c>
      <c r="C52">
        <v>5.2589999999999998E-2</v>
      </c>
      <c r="D52">
        <v>3.5740000000000001E-2</v>
      </c>
      <c r="E52">
        <f>(1.526/2)/100</f>
        <v>7.6300000000000005E-3</v>
      </c>
      <c r="G52" s="9">
        <v>1820000000</v>
      </c>
      <c r="H52">
        <f>((C52)*(B52)^3/48)</f>
        <v>1.5662867081686875E-8</v>
      </c>
      <c r="I52">
        <f>(((C52)^3)*(B52))/36</f>
        <v>9.8056590403342476E-8</v>
      </c>
      <c r="J52">
        <f>(((C52*B52)/144)*((4*(B52^2)+(3*(C52^2)))))</f>
        <v>9.4426265578089355E-8</v>
      </c>
      <c r="K52">
        <v>1348609700</v>
      </c>
      <c r="L52">
        <v>2095632987.9000001</v>
      </c>
      <c r="M52">
        <v>524854200</v>
      </c>
      <c r="N52">
        <v>1067030100</v>
      </c>
      <c r="O52">
        <v>244295.6</v>
      </c>
      <c r="P52">
        <f>(1.526/2)/100</f>
        <v>7.6300000000000005E-3</v>
      </c>
      <c r="Q52">
        <f>(1.526)/100</f>
        <v>1.5260000000000001E-2</v>
      </c>
      <c r="R52">
        <f>(PI()*(P52^4))/4</f>
        <v>2.6618773031550516E-9</v>
      </c>
      <c r="S52">
        <f t="shared" si="54"/>
        <v>8.5180073700961651E-8</v>
      </c>
      <c r="T52">
        <v>30</v>
      </c>
      <c r="U52">
        <f t="shared" si="18"/>
        <v>3</v>
      </c>
      <c r="V52">
        <f t="shared" si="19"/>
        <v>3</v>
      </c>
      <c r="W52">
        <v>212</v>
      </c>
    </row>
    <row r="53" spans="1:23" x14ac:dyDescent="0.25">
      <c r="A53" s="1" t="s">
        <v>59</v>
      </c>
      <c r="B53">
        <v>4.8730000000000002E-2</v>
      </c>
      <c r="C53">
        <v>8.0909999999999996E-2</v>
      </c>
      <c r="D53">
        <v>0.19542000000000001</v>
      </c>
      <c r="E53">
        <f>(1.178/2)/100</f>
        <v>5.8899999999999994E-3</v>
      </c>
      <c r="G53" s="9">
        <v>1820000000</v>
      </c>
      <c r="H53">
        <f t="shared" ref="H53:H54" si="55">((C53)*(B53)^3/48)</f>
        <v>1.9505190575378065E-7</v>
      </c>
      <c r="I53">
        <f t="shared" ref="I53:I54" si="56">(((C53)^3)*(B53))/36</f>
        <v>7.169692243509674E-7</v>
      </c>
      <c r="J53">
        <f t="shared" ref="J53:J54" si="57">(((C53*B53)/144)*((4*(B53^2)+(3*(C53^2)))))</f>
        <v>7.9779612593493309E-7</v>
      </c>
      <c r="K53">
        <v>1348609700</v>
      </c>
      <c r="L53">
        <v>2095632987.9000001</v>
      </c>
      <c r="M53">
        <v>524854200</v>
      </c>
      <c r="N53">
        <v>1067030100</v>
      </c>
      <c r="O53">
        <v>244295.6</v>
      </c>
      <c r="P53">
        <f>(1.178/2)/100</f>
        <v>5.8899999999999994E-3</v>
      </c>
      <c r="Q53">
        <f>(1.178)/100</f>
        <v>1.1779999999999999E-2</v>
      </c>
      <c r="R53">
        <f t="shared" ref="R53:R55" si="58">(PI()*(P53^4))/4</f>
        <v>9.4525952118486823E-10</v>
      </c>
      <c r="S53">
        <f t="shared" si="54"/>
        <v>3.0248304677915783E-8</v>
      </c>
      <c r="T53">
        <v>30</v>
      </c>
      <c r="U53">
        <f t="shared" si="18"/>
        <v>3</v>
      </c>
      <c r="V53">
        <f t="shared" si="19"/>
        <v>3</v>
      </c>
      <c r="W53">
        <v>1162</v>
      </c>
    </row>
    <row r="54" spans="1:23" x14ac:dyDescent="0.25">
      <c r="A54" s="1" t="s">
        <v>65</v>
      </c>
      <c r="B54">
        <v>3.4389999999999997E-2</v>
      </c>
      <c r="C54">
        <v>4.3970000000000002E-2</v>
      </c>
      <c r="D54">
        <v>4.4389999999999999E-2</v>
      </c>
      <c r="E54">
        <f>(1.128/2)/100</f>
        <v>5.6399999999999992E-3</v>
      </c>
      <c r="G54" s="9">
        <v>1820000000</v>
      </c>
      <c r="H54">
        <f t="shared" si="55"/>
        <v>3.7257332333967284E-8</v>
      </c>
      <c r="I54">
        <f t="shared" si="56"/>
        <v>8.1208048083429725E-8</v>
      </c>
      <c r="J54">
        <f t="shared" si="57"/>
        <v>1.1058247917452866E-7</v>
      </c>
      <c r="K54">
        <v>1348609700</v>
      </c>
      <c r="L54">
        <v>2095632987.9000001</v>
      </c>
      <c r="M54">
        <v>524854200</v>
      </c>
      <c r="N54">
        <v>1067030100</v>
      </c>
      <c r="O54">
        <v>244295.6</v>
      </c>
      <c r="P54">
        <f>(1.128/2)/100</f>
        <v>5.6399999999999992E-3</v>
      </c>
      <c r="Q54">
        <f>(1.128/100)</f>
        <v>1.1279999999999998E-2</v>
      </c>
      <c r="R54">
        <f t="shared" si="58"/>
        <v>7.9470564383897361E-10</v>
      </c>
      <c r="S54">
        <f t="shared" si="54"/>
        <v>2.5430580602847156E-8</v>
      </c>
      <c r="T54">
        <v>30</v>
      </c>
      <c r="U54">
        <f t="shared" si="18"/>
        <v>3</v>
      </c>
      <c r="V54">
        <f t="shared" si="19"/>
        <v>3</v>
      </c>
      <c r="W54">
        <v>267</v>
      </c>
    </row>
    <row r="55" spans="1:23" x14ac:dyDescent="0.25">
      <c r="A55" s="7" t="s">
        <v>66</v>
      </c>
      <c r="B55">
        <v>1.5610000000000001E-2</v>
      </c>
      <c r="C55">
        <v>3.108E-2</v>
      </c>
      <c r="D55">
        <v>2.81E-2</v>
      </c>
      <c r="E55">
        <f>(0.959/2)/100</f>
        <v>4.7949999999999998E-3</v>
      </c>
      <c r="F55" t="s">
        <v>86</v>
      </c>
      <c r="G55" s="9">
        <v>1820000000</v>
      </c>
      <c r="H55">
        <f>((C55)*((B55)^3))/3</f>
        <v>3.9406554543160003E-8</v>
      </c>
      <c r="I55">
        <f>((B55)*((C55)^3))/3</f>
        <v>1.5621569982144E-7</v>
      </c>
      <c r="J55">
        <f>(((B55*C55*((B55^2)+(C55^2)))/12))</f>
        <v>4.8905563591150009E-8</v>
      </c>
      <c r="K55">
        <v>1348609700</v>
      </c>
      <c r="L55">
        <v>2095632987.9000001</v>
      </c>
      <c r="M55">
        <v>524854200</v>
      </c>
      <c r="N55">
        <v>1067030100</v>
      </c>
      <c r="O55">
        <v>244295.6</v>
      </c>
      <c r="P55">
        <f>(0.959/2)/100</f>
        <v>4.7949999999999998E-3</v>
      </c>
      <c r="Q55">
        <f>(0.959/100)</f>
        <v>9.5899999999999996E-3</v>
      </c>
      <c r="R55">
        <f t="shared" si="58"/>
        <v>4.1518755507282173E-10</v>
      </c>
      <c r="S55">
        <f t="shared" si="54"/>
        <v>1.3286001762330295E-8</v>
      </c>
      <c r="T55">
        <v>30</v>
      </c>
      <c r="U55">
        <f t="shared" si="18"/>
        <v>3</v>
      </c>
      <c r="V55">
        <f t="shared" si="19"/>
        <v>3</v>
      </c>
      <c r="W55">
        <v>272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PotentialTaxa</vt:lpstr>
      <vt:lpstr>Measurements</vt:lpstr>
      <vt:lpstr>Math</vt:lpstr>
      <vt:lpstr>forR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Korneisel</dc:creator>
  <cp:lastModifiedBy>Cassandra M Donatelli</cp:lastModifiedBy>
  <dcterms:created xsi:type="dcterms:W3CDTF">2024-07-17T13:37:56Z</dcterms:created>
  <dcterms:modified xsi:type="dcterms:W3CDTF">2025-09-02T21:42:26Z</dcterms:modified>
</cp:coreProperties>
</file>